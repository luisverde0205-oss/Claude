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<sst xmlns="http://schemas.openxmlformats.org/spreadsheetml/2006/main" count="17" uniqueCount="17">
  <si>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 </t>
  </si>
  <si>
    <t xml:space="preserve">Area</t>
  </si>
  <si>
    <t xml:space="preserve">Mean</t>
  </si>
  <si>
    <t xml:space="preserve">Min</t>
  </si>
  <si>
    <t xml:space="preserve">Max</t>
  </si>
  <si>
    <t xml:space="preserve">Diametro</t>
  </si>
  <si>
    <t xml:space="preserve">Promedio</t>
  </si>
  <si>
    <t xml:space="preserve">Desviación Estandar</t>
  </si>
  <si>
    <t xml:space="preserve">Clase (Diámetro)</t>
  </si>
  <si>
    <t xml:space="preserve">N° de partículas</t>
  </si>
  <si>
    <t xml:space="preserve">0.60 - 0.65</t>
  </si>
  <si>
    <t xml:space="preserve">0.65 - 0.70</t>
  </si>
  <si>
    <t xml:space="preserve">0.70 - 0.75</t>
  </si>
  <si>
    <t xml:space="preserve">0.75 - 0.80</t>
  </si>
  <si>
    <t xml:space="preserve">0.80 - 0.85</t>
  </si>
  <si>
    <t xml:space="preserve">0.85 - 0.90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</si>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</sst>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tamaño de partícula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in!L1</c:f>
              <c:strCache>
                <c:ptCount val="1"/>
                <c:pt idx="0">
                  <c:v>N° de partículas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in!$K$2:$K$7</c:f>
              <c:strCache>
                <c:ptCount val="6"/>
                <c:pt idx="0">
                  <c:v>0.60 - 0.65</c:v>
                </c:pt>
                <c:pt idx="1">
                  <c:v>0.65 - 0.70</c:v>
                </c:pt>
                <c:pt idx="2">
                  <c:v>0.70 - 0.75</c:v>
                </c:pt>
                <c:pt idx="3">
                  <c:v>0.75 - 0.80</c:v>
                </c:pt>
                <c:pt idx="4">
                  <c:v>0.80 - 0.85</c:v>
                </c:pt>
                <c:pt idx="5">
                  <c:v>0.85 - 0.90</c:v>
                </c:pt>
              </c:strCache>
            </c:strRef>
          </c:cat>
          <c:val>
            <c:numRef>
              <c:f>in!$L$2:$L$7</c:f>
              <c:numCache>
                <c:formatCode>General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22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0"/>
        <c:overlap val="0"/>
        <c:axId val="77301384"/>
        <c:axId val="32426895"/>
      </c:barChart>
      <c:catAx>
        <c:axId val="77301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Diámetro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26895"/>
        <c:crosses val="autoZero"/>
        <c:auto val="1"/>
        <c:lblAlgn val="ctr"/>
        <c:lblOffset val="100"/>
        <c:noMultiLvlLbl val="0"/>
      </c:catAx>
      <c:valAx>
        <c:axId val="324268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partículas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01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17</xdr:col>
      <xdr:colOff>288720</xdr:colOff>
      <xdr:row>26</xdr:row>
      <xdr:rowOff>1440</xdr:rowOff>
    </xdr:to>
    <xdr:graphicFrame>
      <xdr:nvGraphicFramePr>
        <xdr:cNvPr id="0" name="Chart 1"/>
        <xdr:cNvGraphicFramePr/>
      </xdr:nvGraphicFramePr>
      <xdr:xfrm>
        <a:off x="7663680" y="1714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7" min="7" style="0" width="11.84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  <c r="I1" s="0" t="s">
        <v>7</v>
      </c>
      <c r="K1" s="1" t="s">
        <v>8</v>
      </c>
      <c r="L1" s="1" t="s">
        <v>9</v>
      </c>
    </row>
    <row r="2" customFormat="false" ht="15" hidden="false" customHeight="false" outlineLevel="0" collapsed="false">
      <c r="A2" s="0" t="n">
        <v>1</v>
      </c>
      <c r="B2" s="0" t="n">
        <v>0.366</v>
      </c>
      <c r="C2" s="0" t="n">
        <v>179.201</v>
      </c>
      <c r="D2" s="0" t="n">
        <v>97</v>
      </c>
      <c r="E2" s="0" t="n">
        <v>255</v>
      </c>
      <c r="G2" s="0" t="n">
        <f aca="false">SQRT(B2/3.14)*2</f>
        <v>0.682819184130441</v>
      </c>
      <c r="H2" s="0" t="n">
        <f aca="false">AVERAGE(G2:G51)</f>
        <v>0.693845115356298</v>
      </c>
      <c r="I2" s="0" t="n">
        <f aca="false">_xlfn.STDEV.P(G2:G51)</f>
        <v>0.0471409376032788</v>
      </c>
      <c r="K2" s="0" t="s">
        <v>10</v>
      </c>
      <c r="L2" s="0" t="n">
        <f aca="false">COUNTIFS($G$2:$G$51,"&gt;=0.60",$G$2:$G$51,"&lt;0.65")</f>
        <v>9</v>
      </c>
    </row>
    <row r="3" customFormat="false" ht="15" hidden="false" customHeight="false" outlineLevel="0" collapsed="false">
      <c r="A3" s="0" t="n">
        <v>2</v>
      </c>
      <c r="B3" s="0" t="n">
        <v>0.391</v>
      </c>
      <c r="C3" s="0" t="n">
        <v>167.338</v>
      </c>
      <c r="D3" s="0" t="n">
        <v>74</v>
      </c>
      <c r="E3" s="0" t="n">
        <v>248</v>
      </c>
      <c r="G3" s="0" t="n">
        <f aca="false">SQRT(B3/3.14)*2</f>
        <v>0.705754328342747</v>
      </c>
      <c r="K3" s="0" t="s">
        <v>11</v>
      </c>
      <c r="L3" s="0" t="n">
        <f aca="false">COUNTIFS($G$2:$G$51,"&gt;=0.65",$G$2:$G$51,"&lt;0.70")</f>
        <v>17</v>
      </c>
    </row>
    <row r="4" customFormat="false" ht="15" hidden="false" customHeight="false" outlineLevel="0" collapsed="false">
      <c r="A4" s="0" t="n">
        <v>3</v>
      </c>
      <c r="B4" s="0" t="n">
        <v>0.598</v>
      </c>
      <c r="C4" s="0" t="n">
        <v>152.9</v>
      </c>
      <c r="D4" s="0" t="n">
        <v>77</v>
      </c>
      <c r="E4" s="0" t="n">
        <v>226</v>
      </c>
      <c r="G4" s="0" t="n">
        <f aca="false">SQRT(B4/3.14)*2</f>
        <v>0.872802062033796</v>
      </c>
      <c r="K4" s="0" t="s">
        <v>12</v>
      </c>
      <c r="L4" s="0" t="n">
        <f aca="false">COUNTIFS($G$2:$G$51,"&gt;=0.70",$G$2:$G$51,"&lt;0.75")</f>
        <v>22</v>
      </c>
    </row>
    <row r="5" customFormat="false" ht="15" hidden="false" customHeight="false" outlineLevel="0" collapsed="false">
      <c r="A5" s="0" t="n">
        <v>4</v>
      </c>
      <c r="B5" s="0" t="n">
        <v>0.366</v>
      </c>
      <c r="C5" s="0" t="n">
        <v>179.215</v>
      </c>
      <c r="D5" s="0" t="n">
        <v>80</v>
      </c>
      <c r="E5" s="0" t="n">
        <v>255</v>
      </c>
      <c r="G5" s="0" t="n">
        <f aca="false">SQRT(B5/3.14)*2</f>
        <v>0.682819184130441</v>
      </c>
      <c r="K5" s="0" t="s">
        <v>13</v>
      </c>
      <c r="L5" s="0" t="n">
        <f aca="false">COUNTIFS($G$2:$G$51,"&gt;=0.75",$G$2:$G$51,"&lt;0.80")</f>
        <v>0</v>
      </c>
    </row>
    <row r="6" customFormat="false" ht="15" hidden="false" customHeight="false" outlineLevel="0" collapsed="false">
      <c r="A6" s="0" t="n">
        <v>5</v>
      </c>
      <c r="B6" s="0" t="n">
        <v>0.34</v>
      </c>
      <c r="C6" s="0" t="n">
        <v>174.992</v>
      </c>
      <c r="D6" s="0" t="n">
        <v>110</v>
      </c>
      <c r="E6" s="0" t="n">
        <v>245</v>
      </c>
      <c r="G6" s="0" t="n">
        <f aca="false">SQRT(B6/3.14)*2</f>
        <v>0.658119304616025</v>
      </c>
      <c r="K6" s="0" t="s">
        <v>14</v>
      </c>
      <c r="L6" s="0" t="n">
        <f aca="false">COUNTIFS($G$2:$G$51,"&gt;=0.80",$G$2:$G$51,"&lt;0.85")</f>
        <v>1</v>
      </c>
    </row>
    <row r="7" customFormat="false" ht="15" hidden="false" customHeight="false" outlineLevel="0" collapsed="false">
      <c r="A7" s="0" t="n">
        <v>6</v>
      </c>
      <c r="B7" s="0" t="n">
        <v>0.441</v>
      </c>
      <c r="C7" s="0" t="n">
        <v>153.445</v>
      </c>
      <c r="D7" s="0" t="n">
        <v>84</v>
      </c>
      <c r="E7" s="0" t="n">
        <v>242</v>
      </c>
      <c r="G7" s="0" t="n">
        <f aca="false">SQRT(B7/3.14)*2</f>
        <v>0.749522140760662</v>
      </c>
      <c r="K7" s="0" t="s">
        <v>15</v>
      </c>
      <c r="L7" s="0" t="n">
        <f aca="false">COUNTIFS($G$2:$G$51,"&gt;=0.85",$G$2:$G$51,"&lt;0.90")</f>
        <v>1</v>
      </c>
    </row>
    <row r="8" customFormat="false" ht="15" hidden="false" customHeight="false" outlineLevel="0" collapsed="false">
      <c r="A8" s="0" t="n">
        <v>7</v>
      </c>
      <c r="B8" s="0" t="n">
        <v>0.401</v>
      </c>
      <c r="C8" s="0" t="n">
        <v>168.017</v>
      </c>
      <c r="D8" s="0" t="n">
        <v>88</v>
      </c>
      <c r="E8" s="0" t="n">
        <v>255</v>
      </c>
      <c r="G8" s="0" t="n">
        <f aca="false">SQRT(B8/3.14)*2</f>
        <v>0.714722341526909</v>
      </c>
      <c r="K8" s="1" t="s">
        <v>16</v>
      </c>
      <c r="L8" s="1" t="n">
        <f aca="false">SUM(L2:L7)</f>
        <v>50</v>
      </c>
    </row>
    <row r="9" customFormat="false" ht="15" hidden="false" customHeight="false" outlineLevel="0" collapsed="false">
      <c r="A9" s="0" t="n">
        <v>8</v>
      </c>
      <c r="B9" s="0" t="n">
        <v>0.366</v>
      </c>
      <c r="C9" s="0" t="n">
        <v>132.682</v>
      </c>
      <c r="D9" s="0" t="n">
        <v>64</v>
      </c>
      <c r="E9" s="0" t="n">
        <v>185</v>
      </c>
      <c r="G9" s="0" t="n">
        <f aca="false">SQRT(B9/3.14)*2</f>
        <v>0.682819184130441</v>
      </c>
    </row>
    <row r="10" customFormat="false" ht="15" hidden="false" customHeight="false" outlineLevel="0" collapsed="false">
      <c r="A10" s="0" t="n">
        <v>9</v>
      </c>
      <c r="B10" s="0" t="n">
        <v>0.438</v>
      </c>
      <c r="C10" s="0" t="n">
        <v>145.585</v>
      </c>
      <c r="D10" s="0" t="n">
        <v>64</v>
      </c>
      <c r="E10" s="0" t="n">
        <v>223</v>
      </c>
      <c r="G10" s="0" t="n">
        <f aca="false">SQRT(B10/3.14)*2</f>
        <v>0.746968395207917</v>
      </c>
    </row>
    <row r="11" customFormat="false" ht="15" hidden="false" customHeight="false" outlineLevel="0" collapsed="false">
      <c r="A11" s="0" t="n">
        <v>10</v>
      </c>
      <c r="B11" s="0" t="n">
        <v>0.391</v>
      </c>
      <c r="C11" s="0" t="n">
        <v>154.369</v>
      </c>
      <c r="D11" s="0" t="n">
        <v>68</v>
      </c>
      <c r="E11" s="0" t="n">
        <v>229</v>
      </c>
      <c r="G11" s="0" t="n">
        <f aca="false">SQRT(B11/3.14)*2</f>
        <v>0.705754328342747</v>
      </c>
    </row>
    <row r="12" customFormat="false" ht="15" hidden="false" customHeight="false" outlineLevel="0" collapsed="false">
      <c r="A12" s="0" t="n">
        <v>11</v>
      </c>
      <c r="B12" s="0" t="n">
        <v>0.391</v>
      </c>
      <c r="C12" s="0" t="n">
        <v>144.495</v>
      </c>
      <c r="D12" s="0" t="n">
        <v>50</v>
      </c>
      <c r="E12" s="0" t="n">
        <v>202</v>
      </c>
      <c r="G12" s="0" t="n">
        <f aca="false">SQRT(B12/3.14)*2</f>
        <v>0.705754328342747</v>
      </c>
    </row>
    <row r="13" customFormat="false" ht="15" hidden="false" customHeight="false" outlineLevel="0" collapsed="false">
      <c r="A13" s="0" t="n">
        <v>12</v>
      </c>
      <c r="B13" s="0" t="n">
        <v>0.385</v>
      </c>
      <c r="C13" s="0" t="n">
        <v>153.542</v>
      </c>
      <c r="D13" s="0" t="n">
        <v>64</v>
      </c>
      <c r="E13" s="0" t="n">
        <v>231</v>
      </c>
      <c r="G13" s="0" t="n">
        <f aca="false">SQRT(B13/3.14)*2</f>
        <v>0.700318398924812</v>
      </c>
    </row>
    <row r="14" customFormat="false" ht="15" hidden="false" customHeight="false" outlineLevel="0" collapsed="false">
      <c r="A14" s="0" t="n">
        <v>13</v>
      </c>
      <c r="B14" s="0" t="n">
        <v>0.422</v>
      </c>
      <c r="C14" s="0" t="n">
        <v>169.972</v>
      </c>
      <c r="D14" s="0" t="n">
        <v>84</v>
      </c>
      <c r="E14" s="0" t="n">
        <v>248</v>
      </c>
      <c r="G14" s="0" t="n">
        <f aca="false">SQRT(B14/3.14)*2</f>
        <v>0.733198211832513</v>
      </c>
    </row>
    <row r="15" customFormat="false" ht="15" hidden="false" customHeight="false" outlineLevel="0" collapsed="false">
      <c r="A15" s="0" t="n">
        <v>14</v>
      </c>
      <c r="B15" s="0" t="n">
        <v>0.401</v>
      </c>
      <c r="C15" s="0" t="n">
        <v>152.793</v>
      </c>
      <c r="D15" s="0" t="n">
        <v>94</v>
      </c>
      <c r="E15" s="0" t="n">
        <v>230</v>
      </c>
      <c r="G15" s="0" t="n">
        <f aca="false">SQRT(B15/3.14)*2</f>
        <v>0.714722341526909</v>
      </c>
    </row>
    <row r="16" customFormat="false" ht="15" hidden="false" customHeight="false" outlineLevel="0" collapsed="false">
      <c r="A16" s="0" t="n">
        <v>15</v>
      </c>
      <c r="B16" s="0" t="n">
        <v>0.366</v>
      </c>
      <c r="C16" s="0" t="n">
        <v>156.682</v>
      </c>
      <c r="D16" s="0" t="n">
        <v>113</v>
      </c>
      <c r="E16" s="0" t="n">
        <v>254</v>
      </c>
      <c r="G16" s="0" t="n">
        <f aca="false">SQRT(B16/3.14)*2</f>
        <v>0.682819184130441</v>
      </c>
    </row>
    <row r="17" customFormat="false" ht="15" hidden="false" customHeight="false" outlineLevel="0" collapsed="false">
      <c r="A17" s="0" t="n">
        <v>16</v>
      </c>
      <c r="B17" s="0" t="n">
        <v>0.401</v>
      </c>
      <c r="C17" s="0" t="n">
        <v>140.907</v>
      </c>
      <c r="D17" s="0" t="n">
        <v>66</v>
      </c>
      <c r="E17" s="0" t="n">
        <v>232</v>
      </c>
      <c r="G17" s="0" t="n">
        <f aca="false">SQRT(B17/3.14)*2</f>
        <v>0.714722341526909</v>
      </c>
    </row>
    <row r="18" customFormat="false" ht="15" hidden="false" customHeight="false" outlineLevel="0" collapsed="false">
      <c r="A18" s="0" t="n">
        <v>17</v>
      </c>
      <c r="B18" s="0" t="n">
        <v>0.421</v>
      </c>
      <c r="C18" s="0" t="n">
        <v>166</v>
      </c>
      <c r="D18" s="0" t="n">
        <v>87</v>
      </c>
      <c r="E18" s="0" t="n">
        <v>227</v>
      </c>
      <c r="G18" s="0" t="n">
        <f aca="false">SQRT(B18/3.14)*2</f>
        <v>0.732328978317857</v>
      </c>
    </row>
    <row r="19" customFormat="false" ht="15" hidden="false" customHeight="false" outlineLevel="0" collapsed="false">
      <c r="A19" s="0" t="n">
        <v>18</v>
      </c>
      <c r="B19" s="0" t="n">
        <v>0.422</v>
      </c>
      <c r="C19" s="0" t="n">
        <v>169.43</v>
      </c>
      <c r="D19" s="0" t="n">
        <v>50</v>
      </c>
      <c r="E19" s="0" t="n">
        <v>237</v>
      </c>
      <c r="G19" s="0" t="n">
        <f aca="false">SQRT(B19/3.14)*2</f>
        <v>0.733198211832513</v>
      </c>
    </row>
    <row r="20" customFormat="false" ht="15" hidden="false" customHeight="false" outlineLevel="0" collapsed="false">
      <c r="A20" s="0" t="n">
        <v>19</v>
      </c>
      <c r="B20" s="0" t="n">
        <v>0.511</v>
      </c>
      <c r="C20" s="0" t="n">
        <v>157.06</v>
      </c>
      <c r="D20" s="0" t="n">
        <v>68</v>
      </c>
      <c r="E20" s="0" t="n">
        <v>247</v>
      </c>
      <c r="G20" s="0" t="n">
        <f aca="false">SQRT(B20/3.14)*2</f>
        <v>0.806818079874725</v>
      </c>
    </row>
    <row r="21" customFormat="false" ht="15" hidden="false" customHeight="false" outlineLevel="0" collapsed="false">
      <c r="A21" s="0" t="n">
        <v>20</v>
      </c>
      <c r="B21" s="0" t="n">
        <v>0.358</v>
      </c>
      <c r="C21" s="0" t="n">
        <v>157.157</v>
      </c>
      <c r="D21" s="0" t="n">
        <v>74</v>
      </c>
      <c r="E21" s="0" t="n">
        <v>241</v>
      </c>
      <c r="G21" s="0" t="n">
        <f aca="false">SQRT(B21/3.14)*2</f>
        <v>0.6753154488193</v>
      </c>
    </row>
    <row r="22" customFormat="false" ht="15" hidden="false" customHeight="false" outlineLevel="0" collapsed="false">
      <c r="A22" s="0" t="n">
        <v>21</v>
      </c>
      <c r="B22" s="0" t="n">
        <v>0.318</v>
      </c>
      <c r="C22" s="0" t="n">
        <v>162.067</v>
      </c>
      <c r="D22" s="0" t="n">
        <v>111</v>
      </c>
      <c r="E22" s="0" t="n">
        <v>229</v>
      </c>
      <c r="G22" s="0" t="n">
        <f aca="false">SQRT(B22/3.14)*2</f>
        <v>0.636471163055542</v>
      </c>
    </row>
    <row r="23" customFormat="false" ht="15" hidden="false" customHeight="false" outlineLevel="0" collapsed="false">
      <c r="A23" s="0" t="n">
        <v>22</v>
      </c>
      <c r="B23" s="0" t="n">
        <v>0.366</v>
      </c>
      <c r="C23" s="0" t="n">
        <v>150.343</v>
      </c>
      <c r="D23" s="0" t="n">
        <v>69</v>
      </c>
      <c r="E23" s="0" t="n">
        <v>218</v>
      </c>
      <c r="G23" s="0" t="n">
        <f aca="false">SQRT(B23/3.14)*2</f>
        <v>0.682819184130441</v>
      </c>
    </row>
    <row r="24" customFormat="false" ht="15" hidden="false" customHeight="false" outlineLevel="0" collapsed="false">
      <c r="A24" s="0" t="n">
        <v>23</v>
      </c>
      <c r="B24" s="0" t="n">
        <v>0.391</v>
      </c>
      <c r="C24" s="0" t="n">
        <v>141.857</v>
      </c>
      <c r="D24" s="0" t="n">
        <v>46</v>
      </c>
      <c r="E24" s="0" t="n">
        <v>214</v>
      </c>
      <c r="G24" s="0" t="n">
        <f aca="false">SQRT(B24/3.14)*2</f>
        <v>0.705754328342747</v>
      </c>
    </row>
    <row r="25" customFormat="false" ht="15" hidden="false" customHeight="false" outlineLevel="0" collapsed="false">
      <c r="A25" s="0" t="n">
        <v>24</v>
      </c>
      <c r="B25" s="0" t="n">
        <v>0.366</v>
      </c>
      <c r="C25" s="0" t="n">
        <v>145.157</v>
      </c>
      <c r="D25" s="0" t="n">
        <v>47</v>
      </c>
      <c r="E25" s="0" t="n">
        <v>211</v>
      </c>
      <c r="G25" s="0" t="n">
        <f aca="false">SQRT(B25/3.14)*2</f>
        <v>0.682819184130441</v>
      </c>
    </row>
    <row r="26" customFormat="false" ht="15" hidden="false" customHeight="false" outlineLevel="0" collapsed="false">
      <c r="A26" s="0" t="n">
        <v>25</v>
      </c>
      <c r="B26" s="0" t="n">
        <v>0.401</v>
      </c>
      <c r="C26" s="0" t="n">
        <v>153.813</v>
      </c>
      <c r="D26" s="0" t="n">
        <v>73</v>
      </c>
      <c r="E26" s="0" t="n">
        <v>245</v>
      </c>
      <c r="G26" s="0" t="n">
        <f aca="false">SQRT(B26/3.14)*2</f>
        <v>0.714722341526909</v>
      </c>
    </row>
    <row r="27" customFormat="false" ht="15" hidden="false" customHeight="false" outlineLevel="0" collapsed="false">
      <c r="A27" s="0" t="n">
        <v>26</v>
      </c>
      <c r="B27" s="0" t="n">
        <v>0.366</v>
      </c>
      <c r="C27" s="0" t="n">
        <v>187.372</v>
      </c>
      <c r="D27" s="0" t="n">
        <v>146</v>
      </c>
      <c r="E27" s="0" t="n">
        <v>255</v>
      </c>
      <c r="G27" s="0" t="n">
        <f aca="false">SQRT(B27/3.14)*2</f>
        <v>0.682819184130441</v>
      </c>
    </row>
    <row r="28" customFormat="false" ht="15" hidden="false" customHeight="false" outlineLevel="0" collapsed="false">
      <c r="A28" s="0" t="n">
        <v>27</v>
      </c>
      <c r="B28" s="0" t="n">
        <v>0.366</v>
      </c>
      <c r="C28" s="0" t="n">
        <v>173.891</v>
      </c>
      <c r="D28" s="0" t="n">
        <v>129</v>
      </c>
      <c r="E28" s="0" t="n">
        <v>233</v>
      </c>
      <c r="G28" s="0" t="n">
        <f aca="false">SQRT(B28/3.14)*2</f>
        <v>0.682819184130441</v>
      </c>
    </row>
    <row r="29" customFormat="false" ht="15" hidden="false" customHeight="false" outlineLevel="0" collapsed="false">
      <c r="A29" s="0" t="n">
        <v>28</v>
      </c>
      <c r="B29" s="0" t="n">
        <v>0.318</v>
      </c>
      <c r="C29" s="0" t="n">
        <v>169.13</v>
      </c>
      <c r="D29" s="0" t="n">
        <v>111</v>
      </c>
      <c r="E29" s="0" t="n">
        <v>255</v>
      </c>
      <c r="G29" s="0" t="n">
        <f aca="false">SQRT(B29/3.14)*2</f>
        <v>0.636471163055542</v>
      </c>
    </row>
    <row r="30" customFormat="false" ht="15" hidden="false" customHeight="false" outlineLevel="0" collapsed="false">
      <c r="A30" s="0" t="n">
        <v>29</v>
      </c>
      <c r="B30" s="0" t="n">
        <v>0.366</v>
      </c>
      <c r="C30" s="0" t="n">
        <v>154.821</v>
      </c>
      <c r="D30" s="0" t="n">
        <v>107</v>
      </c>
      <c r="E30" s="0" t="n">
        <v>199</v>
      </c>
      <c r="G30" s="0" t="n">
        <f aca="false">SQRT(B30/3.14)*2</f>
        <v>0.682819184130441</v>
      </c>
    </row>
    <row r="31" customFormat="false" ht="15" hidden="false" customHeight="false" outlineLevel="0" collapsed="false">
      <c r="A31" s="0" t="n">
        <v>30</v>
      </c>
      <c r="B31" s="0" t="n">
        <v>0.421</v>
      </c>
      <c r="C31" s="0" t="n">
        <v>158.137</v>
      </c>
      <c r="D31" s="0" t="n">
        <v>97</v>
      </c>
      <c r="E31" s="0" t="n">
        <v>248</v>
      </c>
      <c r="G31" s="0" t="n">
        <f aca="false">SQRT(B31/3.14)*2</f>
        <v>0.732328978317857</v>
      </c>
    </row>
    <row r="32" customFormat="false" ht="15" hidden="false" customHeight="false" outlineLevel="0" collapsed="false">
      <c r="A32" s="0" t="n">
        <v>31</v>
      </c>
      <c r="B32" s="0" t="n">
        <v>0.34</v>
      </c>
      <c r="C32" s="0" t="n">
        <v>152.494</v>
      </c>
      <c r="D32" s="0" t="n">
        <v>103</v>
      </c>
      <c r="E32" s="0" t="n">
        <v>229</v>
      </c>
      <c r="G32" s="0" t="n">
        <f aca="false">SQRT(B32/3.14)*2</f>
        <v>0.658119304616025</v>
      </c>
    </row>
    <row r="33" customFormat="false" ht="15" hidden="false" customHeight="false" outlineLevel="0" collapsed="false">
      <c r="A33" s="0" t="n">
        <v>32</v>
      </c>
      <c r="B33" s="0" t="n">
        <v>0.34</v>
      </c>
      <c r="C33" s="0" t="n">
        <v>144.871</v>
      </c>
      <c r="D33" s="0" t="n">
        <v>90</v>
      </c>
      <c r="E33" s="0" t="n">
        <v>184</v>
      </c>
      <c r="G33" s="0" t="n">
        <f aca="false">SQRT(B33/3.14)*2</f>
        <v>0.658119304616025</v>
      </c>
    </row>
    <row r="34" customFormat="false" ht="15" hidden="false" customHeight="false" outlineLevel="0" collapsed="false">
      <c r="A34" s="0" t="n">
        <v>33</v>
      </c>
      <c r="B34" s="0" t="n">
        <v>0.34</v>
      </c>
      <c r="C34" s="0" t="n">
        <v>152.965</v>
      </c>
      <c r="D34" s="0" t="n">
        <v>97</v>
      </c>
      <c r="E34" s="0" t="n">
        <v>236</v>
      </c>
      <c r="G34" s="0" t="n">
        <f aca="false">SQRT(B34/3.14)*2</f>
        <v>0.658119304616025</v>
      </c>
    </row>
    <row r="35" customFormat="false" ht="15" hidden="false" customHeight="false" outlineLevel="0" collapsed="false">
      <c r="A35" s="0" t="n">
        <v>34</v>
      </c>
      <c r="B35" s="0" t="n">
        <v>0.32</v>
      </c>
      <c r="C35" s="0" t="n">
        <v>142.775</v>
      </c>
      <c r="D35" s="0" t="n">
        <v>57</v>
      </c>
      <c r="E35" s="0" t="n">
        <v>219</v>
      </c>
      <c r="G35" s="0" t="n">
        <f aca="false">SQRT(B35/3.14)*2</f>
        <v>0.638469507574098</v>
      </c>
    </row>
    <row r="36" customFormat="false" ht="15" hidden="false" customHeight="false" outlineLevel="0" collapsed="false">
      <c r="A36" s="0" t="n">
        <v>35</v>
      </c>
      <c r="B36" s="0" t="n">
        <v>0.385</v>
      </c>
      <c r="C36" s="0" t="n">
        <v>149.097</v>
      </c>
      <c r="D36" s="0" t="n">
        <v>83</v>
      </c>
      <c r="E36" s="0" t="n">
        <v>207</v>
      </c>
      <c r="G36" s="0" t="n">
        <f aca="false">SQRT(B36/3.14)*2</f>
        <v>0.700318398924812</v>
      </c>
    </row>
    <row r="37" customFormat="false" ht="15" hidden="false" customHeight="false" outlineLevel="0" collapsed="false">
      <c r="A37" s="0" t="n">
        <v>36</v>
      </c>
      <c r="B37" s="0" t="n">
        <v>0.288</v>
      </c>
      <c r="C37" s="0" t="n">
        <v>143.801</v>
      </c>
      <c r="D37" s="0" t="n">
        <v>97</v>
      </c>
      <c r="E37" s="0" t="n">
        <v>175</v>
      </c>
      <c r="G37" s="0" t="n">
        <f aca="false">SQRT(B37/3.14)*2</f>
        <v>0.605705358150083</v>
      </c>
    </row>
    <row r="38" customFormat="false" ht="15" hidden="false" customHeight="false" outlineLevel="0" collapsed="false">
      <c r="A38" s="0" t="n">
        <v>37</v>
      </c>
      <c r="B38" s="0" t="n">
        <v>0.318</v>
      </c>
      <c r="C38" s="0" t="n">
        <v>165.05</v>
      </c>
      <c r="D38" s="0" t="n">
        <v>117</v>
      </c>
      <c r="E38" s="0" t="n">
        <v>251</v>
      </c>
      <c r="G38" s="0" t="n">
        <f aca="false">SQRT(B38/3.14)*2</f>
        <v>0.636471163055542</v>
      </c>
    </row>
    <row r="39" customFormat="false" ht="15" hidden="false" customHeight="false" outlineLevel="0" collapsed="false">
      <c r="A39" s="0" t="n">
        <v>38</v>
      </c>
      <c r="B39" s="0" t="n">
        <v>0.318</v>
      </c>
      <c r="C39" s="0" t="n">
        <v>154.828</v>
      </c>
      <c r="D39" s="0" t="n">
        <v>115</v>
      </c>
      <c r="E39" s="0" t="n">
        <v>220</v>
      </c>
      <c r="G39" s="0" t="n">
        <f aca="false">SQRT(B39/3.14)*2</f>
        <v>0.636471163055542</v>
      </c>
    </row>
    <row r="40" customFormat="false" ht="15" hidden="false" customHeight="false" outlineLevel="0" collapsed="false">
      <c r="A40" s="0" t="n">
        <v>39</v>
      </c>
      <c r="B40" s="0" t="n">
        <v>0.342</v>
      </c>
      <c r="C40" s="0" t="n">
        <v>149.25</v>
      </c>
      <c r="D40" s="0" t="n">
        <v>115</v>
      </c>
      <c r="E40" s="0" t="n">
        <v>212</v>
      </c>
      <c r="G40" s="0" t="n">
        <f aca="false">SQRT(B40/3.14)*2</f>
        <v>0.66005211143433</v>
      </c>
    </row>
    <row r="41" customFormat="false" ht="15" hidden="false" customHeight="false" outlineLevel="0" collapsed="false">
      <c r="A41" s="0" t="n">
        <v>40</v>
      </c>
      <c r="B41" s="0" t="n">
        <v>0.3</v>
      </c>
      <c r="C41" s="0" t="n">
        <v>142.84</v>
      </c>
      <c r="D41" s="0" t="n">
        <v>114</v>
      </c>
      <c r="E41" s="0" t="n">
        <v>221</v>
      </c>
      <c r="G41" s="0" t="n">
        <f aca="false">SQRT(B41/3.14)*2</f>
        <v>0.618195442473933</v>
      </c>
    </row>
    <row r="42" customFormat="false" ht="15" hidden="false" customHeight="false" outlineLevel="0" collapsed="false">
      <c r="A42" s="0" t="n">
        <v>41</v>
      </c>
      <c r="B42" s="0" t="n">
        <v>0.422</v>
      </c>
      <c r="C42" s="0" t="n">
        <v>149.329</v>
      </c>
      <c r="D42" s="0" t="n">
        <v>90</v>
      </c>
      <c r="E42" s="0" t="n">
        <v>227</v>
      </c>
      <c r="G42" s="0" t="n">
        <f aca="false">SQRT(B42/3.14)*2</f>
        <v>0.733198211832513</v>
      </c>
    </row>
    <row r="43" customFormat="false" ht="15" hidden="false" customHeight="false" outlineLevel="0" collapsed="false">
      <c r="A43" s="0" t="n">
        <v>42</v>
      </c>
      <c r="B43" s="0" t="n">
        <v>0.318</v>
      </c>
      <c r="C43" s="0" t="n">
        <v>141.315</v>
      </c>
      <c r="D43" s="0" t="n">
        <v>107</v>
      </c>
      <c r="E43" s="0" t="n">
        <v>200</v>
      </c>
      <c r="G43" s="0" t="n">
        <f aca="false">SQRT(B43/3.14)*2</f>
        <v>0.636471163055542</v>
      </c>
    </row>
    <row r="44" customFormat="false" ht="15" hidden="false" customHeight="false" outlineLevel="0" collapsed="false">
      <c r="A44" s="0" t="n">
        <v>43</v>
      </c>
      <c r="B44" s="0" t="n">
        <v>0.366</v>
      </c>
      <c r="C44" s="0" t="n">
        <v>155.135</v>
      </c>
      <c r="D44" s="0" t="n">
        <v>90</v>
      </c>
      <c r="E44" s="0" t="n">
        <v>206</v>
      </c>
      <c r="G44" s="0" t="n">
        <f aca="false">SQRT(B44/3.14)*2</f>
        <v>0.682819184130441</v>
      </c>
    </row>
    <row r="45" customFormat="false" ht="15" hidden="false" customHeight="false" outlineLevel="0" collapsed="false">
      <c r="A45" s="0" t="n">
        <v>44</v>
      </c>
      <c r="B45" s="0" t="n">
        <v>0.385</v>
      </c>
      <c r="C45" s="0" t="n">
        <v>161.066</v>
      </c>
      <c r="D45" s="0" t="n">
        <v>72</v>
      </c>
      <c r="E45" s="0" t="n">
        <v>227</v>
      </c>
      <c r="G45" s="0" t="n">
        <f aca="false">SQRT(B45/3.14)*2</f>
        <v>0.700318398924812</v>
      </c>
    </row>
    <row r="46" customFormat="false" ht="15" hidden="false" customHeight="false" outlineLevel="0" collapsed="false">
      <c r="A46" s="0" t="n">
        <v>45</v>
      </c>
      <c r="B46" s="0" t="n">
        <v>0.385</v>
      </c>
      <c r="C46" s="0" t="n">
        <v>144.438</v>
      </c>
      <c r="D46" s="0" t="n">
        <v>78</v>
      </c>
      <c r="E46" s="0" t="n">
        <v>229</v>
      </c>
      <c r="G46" s="0" t="n">
        <f aca="false">SQRT(B46/3.14)*2</f>
        <v>0.700318398924812</v>
      </c>
    </row>
    <row r="47" customFormat="false" ht="15" hidden="false" customHeight="false" outlineLevel="0" collapsed="false">
      <c r="A47" s="0" t="n">
        <v>46</v>
      </c>
      <c r="B47" s="0" t="n">
        <v>0.318</v>
      </c>
      <c r="C47" s="0" t="n">
        <v>150.239</v>
      </c>
      <c r="D47" s="0" t="n">
        <v>111</v>
      </c>
      <c r="E47" s="0" t="n">
        <v>248</v>
      </c>
      <c r="G47" s="0" t="n">
        <f aca="false">SQRT(B47/3.14)*2</f>
        <v>0.636471163055542</v>
      </c>
    </row>
    <row r="48" customFormat="false" ht="15" hidden="false" customHeight="false" outlineLevel="0" collapsed="false">
      <c r="A48" s="0" t="n">
        <v>47</v>
      </c>
      <c r="B48" s="0" t="n">
        <v>0.401</v>
      </c>
      <c r="C48" s="0" t="n">
        <v>143.067</v>
      </c>
      <c r="D48" s="0" t="n">
        <v>67</v>
      </c>
      <c r="E48" s="0" t="n">
        <v>199</v>
      </c>
      <c r="G48" s="0" t="n">
        <f aca="false">SQRT(B48/3.14)*2</f>
        <v>0.714722341526909</v>
      </c>
    </row>
    <row r="49" customFormat="false" ht="15" hidden="false" customHeight="false" outlineLevel="0" collapsed="false">
      <c r="A49" s="0" t="n">
        <v>48</v>
      </c>
      <c r="B49" s="0" t="n">
        <v>0.366</v>
      </c>
      <c r="C49" s="0" t="n">
        <v>170.584</v>
      </c>
      <c r="D49" s="0" t="n">
        <v>90</v>
      </c>
      <c r="E49" s="0" t="n">
        <v>248</v>
      </c>
      <c r="G49" s="0" t="n">
        <f aca="false">SQRT(B49/3.14)*2</f>
        <v>0.682819184130441</v>
      </c>
    </row>
    <row r="50" customFormat="false" ht="15" hidden="false" customHeight="false" outlineLevel="0" collapsed="false">
      <c r="A50" s="0" t="n">
        <v>49</v>
      </c>
      <c r="B50" s="0" t="n">
        <v>0.438</v>
      </c>
      <c r="C50" s="0" t="n">
        <v>144.756</v>
      </c>
      <c r="D50" s="0" t="n">
        <v>55</v>
      </c>
      <c r="E50" s="0" t="n">
        <v>219</v>
      </c>
      <c r="G50" s="0" t="n">
        <f aca="false">SQRT(B50/3.14)*2</f>
        <v>0.746968395207917</v>
      </c>
    </row>
    <row r="51" customFormat="false" ht="15" hidden="false" customHeight="false" outlineLevel="0" collapsed="false">
      <c r="A51" s="0" t="n">
        <v>50</v>
      </c>
      <c r="B51" s="0" t="n">
        <v>0.438</v>
      </c>
      <c r="C51" s="0" t="n">
        <v>146.591</v>
      </c>
      <c r="D51" s="0" t="n">
        <v>49</v>
      </c>
      <c r="E51" s="0" t="n">
        <v>219</v>
      </c>
      <c r="G51" s="0" t="n">
        <f aca="false">SQRT(B51/3.14)*2</f>
        <v>0.746968395207917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2026-10-19T14:38:38Z</dcterms:created>
  <dc:creator>ROMAN VERDE, LUIS ALBERTO</dc:creator>
  <dc:description/>
  <dc:language>en-US</dc:language>
  <cp:lastModifiedBy/>
  <dcterms:modified xsi:type="dcterms:W3CDTF">2026-10-19T14:40:46Z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