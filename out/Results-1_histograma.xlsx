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<sst xmlns="http://schemas.openxmlformats.org/spreadsheetml/2006/main" count="16" uniqueCount="16">
  <si>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 </t>
  </si>
  <si>
    <t xml:space="preserve">Area</t>
  </si>
  <si>
    <t xml:space="preserve">Mean</t>
  </si>
  <si>
    <t xml:space="preserve">Min</t>
  </si>
  <si>
    <t xml:space="preserve">Max</t>
  </si>
  <si>
    <t xml:space="preserve">Angle</t>
  </si>
  <si>
    <t xml:space="preserve">Length</t>
  </si>
  <si>
    <t xml:space="preserve">Promedio</t>
  </si>
  <si>
    <t xml:space="preserve">Desviación </t>
  </si>
  <si>
    <t xml:space="preserve">Desde</t>
  </si>
  <si>
    <t xml:space="preserve">Hasta</t>
  </si>
  <si>
    <t xml:space="preserve">Intervalo (Length)</t>
  </si>
  <si>
    <t xml:space="preserve">N° de partículas</t>
  </si>
  <si>
    <t xml:space="preserve">Ancho de clase</t>
  </si>
  <si>
    <t xml:space="preserve">Total</t>
  </si>
  <si>
    <t xml:space="preserve">Intervalos [desde, hasta); el ancho de clase (R1) y el inicio (L2) se pueden editar.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</si>
</sst>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Histograma de tamaño de partícula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in!O1</c:f>
              <c:strCache>
                <c:ptCount val="1"/>
                <c:pt idx="0">
                  <c:v>N° de partículas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in!$N$2:$N$9</c:f>
              <c:strCache>
                <c:ptCount val="8"/>
                <c:pt idx="0">
                  <c:v>0.45–0.50</c:v>
                </c:pt>
                <c:pt idx="1">
                  <c:v>0.50–0.55</c:v>
                </c:pt>
                <c:pt idx="2">
                  <c:v>0.55–0.60</c:v>
                </c:pt>
                <c:pt idx="3">
                  <c:v>0.60–0.65</c:v>
                </c:pt>
                <c:pt idx="4">
                  <c:v>0.65–0.70</c:v>
                </c:pt>
                <c:pt idx="5">
                  <c:v>0.70–0.75</c:v>
                </c:pt>
                <c:pt idx="6">
                  <c:v>0.75–0.80</c:v>
                </c:pt>
                <c:pt idx="7">
                  <c:v>0.80–0.85</c:v>
                </c:pt>
              </c:strCache>
            </c:strRef>
          </c:cat>
          <c:val>
            <c:numRef>
              <c:f>in!$O$2:$O$9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19</c:v>
                </c:pt>
                <c:pt idx="3">
                  <c:v>15</c:v>
                </c:pt>
                <c:pt idx="4">
                  <c:v>8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gapWidth val="0"/>
        <c:overlap val="0"/>
        <c:axId val="75380927"/>
        <c:axId val="19621200"/>
      </c:barChart>
      <c:catAx>
        <c:axId val="75380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Tamaño (Length)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21200"/>
        <c:crosses val="autoZero"/>
        <c:auto val="1"/>
        <c:lblAlgn val="ctr"/>
        <c:lblOffset val="100"/>
        <c:noMultiLvlLbl val="0"/>
      </c:catAx>
      <c:valAx>
        <c:axId val="1962120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partículas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80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12</xdr:row>
      <xdr:rowOff>0</xdr:rowOff>
    </xdr:from>
    <xdr:to>
      <xdr:col>18</xdr:col>
      <xdr:colOff>289080</xdr:colOff>
      <xdr:row>29</xdr:row>
      <xdr:rowOff>1080</xdr:rowOff>
    </xdr:to>
    <xdr:graphicFrame>
      <xdr:nvGraphicFramePr>
        <xdr:cNvPr id="0" name="Chart 1"/>
        <xdr:cNvGraphicFramePr/>
      </xdr:nvGraphicFramePr>
      <xdr:xfrm>
        <a:off x="8422560" y="2286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10.76953125" defaultRowHeight="15" zeroHeight="false" outlineLevelRow="0" outlineLevelCol="0"/>
  <cols>
    <col collapsed="false" customWidth="true" hidden="false" outlineLevel="0" max="10" min="10" style="0" width="11.84"/>
    <col collapsed="false" customWidth="true" hidden="false" outlineLevel="0" max="14" min="14" style="0" width="18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7</v>
      </c>
      <c r="J1" s="0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Q1" s="1" t="s">
        <v>13</v>
      </c>
      <c r="R1" s="0" t="n">
        <v>0.05</v>
      </c>
    </row>
    <row r="2" customFormat="false" ht="15" hidden="false" customHeight="false" outlineLevel="0" collapsed="false">
      <c r="A2" s="0" t="n">
        <v>1</v>
      </c>
      <c r="B2" s="0" t="n">
        <v>0.022</v>
      </c>
      <c r="C2" s="0" t="n">
        <v>194.641</v>
      </c>
      <c r="D2" s="0" t="n">
        <v>153.667</v>
      </c>
      <c r="E2" s="0" t="n">
        <v>251.566</v>
      </c>
      <c r="F2" s="0" t="n">
        <v>0</v>
      </c>
      <c r="G2" s="0" t="n">
        <v>0.603</v>
      </c>
      <c r="I2" s="0" t="n">
        <f aca="false">AVERAGE(G2:G51)</f>
        <v>0.62328</v>
      </c>
      <c r="J2" s="0" t="n">
        <f aca="false">_xlfn.STDEV.S(G2:G51)</f>
        <v>0.0578280491224295</v>
      </c>
      <c r="L2" s="2" t="n">
        <v>0.45</v>
      </c>
      <c r="M2" s="2" t="n">
        <f aca="false">L2+$R$1</f>
        <v>0.5</v>
      </c>
      <c r="N2" s="0" t="str">
        <f aca="false">TEXT(L2,"0.00")&amp;"–"&amp;TEXT(M2,"0.00")</f>
        <v>0.45–0.50</v>
      </c>
      <c r="O2" s="3" t="n">
        <f aca="false">COUNTIFS($G$2:$G$51,"&gt;="&amp;L2,$G$2:$G$51,"&lt;"&amp;M2)</f>
        <v>1</v>
      </c>
    </row>
    <row r="3" customFormat="false" ht="15" hidden="false" customHeight="false" outlineLevel="0" collapsed="false">
      <c r="A3" s="0" t="n">
        <v>2</v>
      </c>
      <c r="B3" s="0" t="n">
        <v>0.024</v>
      </c>
      <c r="C3" s="0" t="n">
        <v>180.577</v>
      </c>
      <c r="D3" s="0" t="n">
        <v>125.333</v>
      </c>
      <c r="E3" s="0" t="n">
        <v>237.146</v>
      </c>
      <c r="F3" s="0" t="n">
        <v>0</v>
      </c>
      <c r="G3" s="0" t="n">
        <v>0.622</v>
      </c>
      <c r="L3" s="2" t="n">
        <f aca="false">M2</f>
        <v>0.5</v>
      </c>
      <c r="M3" s="2" t="n">
        <f aca="false">L3+$R$1</f>
        <v>0.55</v>
      </c>
      <c r="N3" s="0" t="str">
        <f aca="false">TEXT(L3,"0.00")&amp;"–"&amp;TEXT(M3,"0.00")</f>
        <v>0.50–0.55</v>
      </c>
      <c r="O3" s="3" t="n">
        <f aca="false">COUNTIFS($G$2:$G$51,"&gt;="&amp;L3,$G$2:$G$51,"&lt;"&amp;M3)</f>
        <v>2</v>
      </c>
    </row>
    <row r="4" customFormat="false" ht="15" hidden="false" customHeight="false" outlineLevel="0" collapsed="false">
      <c r="A4" s="0" t="n">
        <v>3</v>
      </c>
      <c r="B4" s="0" t="n">
        <v>0.022</v>
      </c>
      <c r="C4" s="0" t="n">
        <v>166.617</v>
      </c>
      <c r="D4" s="0" t="n">
        <v>120.056</v>
      </c>
      <c r="E4" s="0" t="n">
        <v>207.222</v>
      </c>
      <c r="F4" s="0" t="n">
        <v>0</v>
      </c>
      <c r="G4" s="0" t="n">
        <v>0.599</v>
      </c>
      <c r="L4" s="2" t="n">
        <f aca="false">M3</f>
        <v>0.55</v>
      </c>
      <c r="M4" s="2" t="n">
        <f aca="false">L4+$R$1</f>
        <v>0.6</v>
      </c>
      <c r="N4" s="0" t="str">
        <f aca="false">TEXT(L4,"0.00")&amp;"–"&amp;TEXT(M4,"0.00")</f>
        <v>0.55–0.60</v>
      </c>
      <c r="O4" s="3" t="n">
        <f aca="false">COUNTIFS($G$2:$G$51,"&gt;="&amp;L4,$G$2:$G$51,"&lt;"&amp;M4)</f>
        <v>19</v>
      </c>
    </row>
    <row r="5" customFormat="false" ht="15" hidden="false" customHeight="false" outlineLevel="0" collapsed="false">
      <c r="A5" s="0" t="n">
        <v>4</v>
      </c>
      <c r="B5" s="0" t="n">
        <v>0.022</v>
      </c>
      <c r="C5" s="0" t="n">
        <v>167.637</v>
      </c>
      <c r="D5" s="0" t="n">
        <v>127.278</v>
      </c>
      <c r="E5" s="0" t="n">
        <v>219.011</v>
      </c>
      <c r="F5" s="0" t="n">
        <v>0</v>
      </c>
      <c r="G5" s="0" t="n">
        <v>0.604</v>
      </c>
      <c r="L5" s="2" t="n">
        <f aca="false">M4</f>
        <v>0.6</v>
      </c>
      <c r="M5" s="2" t="n">
        <f aca="false">L5+$R$1</f>
        <v>0.65</v>
      </c>
      <c r="N5" s="0" t="str">
        <f aca="false">TEXT(L5,"0.00")&amp;"–"&amp;TEXT(M5,"0.00")</f>
        <v>0.60–0.65</v>
      </c>
      <c r="O5" s="3" t="n">
        <f aca="false">COUNTIFS($G$2:$G$51,"&gt;="&amp;L5,$G$2:$G$51,"&lt;"&amp;M5)</f>
        <v>15</v>
      </c>
    </row>
    <row r="6" customFormat="false" ht="15" hidden="false" customHeight="false" outlineLevel="0" collapsed="false">
      <c r="A6" s="0" t="n">
        <v>5</v>
      </c>
      <c r="B6" s="0" t="n">
        <v>0.017</v>
      </c>
      <c r="C6" s="0" t="n">
        <v>171.705</v>
      </c>
      <c r="D6" s="0" t="n">
        <v>134.722</v>
      </c>
      <c r="E6" s="0" t="n">
        <v>229.679</v>
      </c>
      <c r="F6" s="0" t="n">
        <v>0</v>
      </c>
      <c r="G6" s="0" t="n">
        <v>0.464</v>
      </c>
      <c r="L6" s="2" t="n">
        <f aca="false">M5</f>
        <v>0.65</v>
      </c>
      <c r="M6" s="2" t="n">
        <f aca="false">L6+$R$1</f>
        <v>0.7</v>
      </c>
      <c r="N6" s="0" t="str">
        <f aca="false">TEXT(L6,"0.00")&amp;"–"&amp;TEXT(M6,"0.00")</f>
        <v>0.65–0.70</v>
      </c>
      <c r="O6" s="3" t="n">
        <f aca="false">COUNTIFS($G$2:$G$51,"&gt;="&amp;L6,$G$2:$G$51,"&lt;"&amp;M6)</f>
        <v>8</v>
      </c>
    </row>
    <row r="7" customFormat="false" ht="15" hidden="false" customHeight="false" outlineLevel="0" collapsed="false">
      <c r="A7" s="0" t="n">
        <v>6</v>
      </c>
      <c r="B7" s="0" t="n">
        <v>0.024</v>
      </c>
      <c r="C7" s="0" t="n">
        <v>165.772</v>
      </c>
      <c r="D7" s="0" t="n">
        <v>128.333</v>
      </c>
      <c r="E7" s="0" t="n">
        <v>217</v>
      </c>
      <c r="F7" s="0" t="n">
        <v>0</v>
      </c>
      <c r="G7" s="0" t="n">
        <v>0.634</v>
      </c>
      <c r="L7" s="2" t="n">
        <f aca="false">M6</f>
        <v>0.7</v>
      </c>
      <c r="M7" s="2" t="n">
        <f aca="false">L7+$R$1</f>
        <v>0.75</v>
      </c>
      <c r="N7" s="0" t="str">
        <f aca="false">TEXT(L7,"0.00")&amp;"–"&amp;TEXT(M7,"0.00")</f>
        <v>0.70–0.75</v>
      </c>
      <c r="O7" s="3" t="n">
        <f aca="false">COUNTIFS($G$2:$G$51,"&gt;="&amp;L7,$G$2:$G$51,"&lt;"&amp;M7)</f>
        <v>4</v>
      </c>
    </row>
    <row r="8" customFormat="false" ht="15" hidden="false" customHeight="false" outlineLevel="0" collapsed="false">
      <c r="A8" s="0" t="n">
        <v>7</v>
      </c>
      <c r="B8" s="0" t="n">
        <v>0.022</v>
      </c>
      <c r="C8" s="0" t="n">
        <v>159.037</v>
      </c>
      <c r="D8" s="0" t="n">
        <v>131.333</v>
      </c>
      <c r="E8" s="0" t="n">
        <v>246.667</v>
      </c>
      <c r="F8" s="0" t="n">
        <v>0</v>
      </c>
      <c r="G8" s="0" t="n">
        <v>0.599</v>
      </c>
      <c r="L8" s="2" t="n">
        <f aca="false">M7</f>
        <v>0.75</v>
      </c>
      <c r="M8" s="2" t="n">
        <f aca="false">L8+$R$1</f>
        <v>0.8</v>
      </c>
      <c r="N8" s="0" t="str">
        <f aca="false">TEXT(L8,"0.00")&amp;"–"&amp;TEXT(M8,"0.00")</f>
        <v>0.75–0.80</v>
      </c>
      <c r="O8" s="3" t="n">
        <f aca="false">COUNTIFS($G$2:$G$51,"&gt;="&amp;L8,$G$2:$G$51,"&lt;"&amp;M8)</f>
        <v>0</v>
      </c>
    </row>
    <row r="9" customFormat="false" ht="15" hidden="false" customHeight="false" outlineLevel="0" collapsed="false">
      <c r="A9" s="0" t="n">
        <v>8</v>
      </c>
      <c r="B9" s="0" t="n">
        <v>0.024</v>
      </c>
      <c r="C9" s="0" t="n">
        <v>166.509</v>
      </c>
      <c r="D9" s="0" t="n">
        <v>140.333</v>
      </c>
      <c r="E9" s="0" t="n">
        <v>208</v>
      </c>
      <c r="F9" s="0" t="n">
        <v>0</v>
      </c>
      <c r="G9" s="0" t="n">
        <v>0.634</v>
      </c>
      <c r="L9" s="2" t="n">
        <f aca="false">M8</f>
        <v>0.8</v>
      </c>
      <c r="M9" s="2" t="n">
        <f aca="false">L9+$R$1</f>
        <v>0.85</v>
      </c>
      <c r="N9" s="0" t="str">
        <f aca="false">TEXT(L9,"0.00")&amp;"–"&amp;TEXT(M9,"0.00")</f>
        <v>0.80–0.85</v>
      </c>
      <c r="O9" s="3" t="n">
        <f aca="false">COUNTIFS($G$2:$G$51,"&gt;="&amp;L9,$G$2:$G$51,"&lt;"&amp;M9)</f>
        <v>1</v>
      </c>
    </row>
    <row r="10" customFormat="false" ht="15" hidden="false" customHeight="false" outlineLevel="0" collapsed="false">
      <c r="A10" s="0" t="n">
        <v>9</v>
      </c>
      <c r="B10" s="0" t="n">
        <v>0.027</v>
      </c>
      <c r="C10" s="0" t="n">
        <v>147.5</v>
      </c>
      <c r="D10" s="0" t="n">
        <v>117.667</v>
      </c>
      <c r="E10" s="0" t="n">
        <v>213.667</v>
      </c>
      <c r="F10" s="0" t="n">
        <v>0</v>
      </c>
      <c r="G10" s="0" t="n">
        <v>0.739</v>
      </c>
      <c r="N10" s="1" t="s">
        <v>14</v>
      </c>
      <c r="O10" s="1" t="n">
        <f aca="false">SUM(O2:O9)</f>
        <v>50</v>
      </c>
    </row>
    <row r="11" customFormat="false" ht="15" hidden="false" customHeight="false" outlineLevel="0" collapsed="false">
      <c r="A11" s="0" t="n">
        <v>10</v>
      </c>
      <c r="B11" s="0" t="n">
        <v>0.022</v>
      </c>
      <c r="C11" s="0" t="n">
        <v>140.444</v>
      </c>
      <c r="D11" s="0" t="n">
        <v>113</v>
      </c>
      <c r="E11" s="0" t="n">
        <v>218.333</v>
      </c>
      <c r="F11" s="0" t="n">
        <v>0</v>
      </c>
      <c r="G11" s="0" t="n">
        <v>0.599</v>
      </c>
      <c r="L11" s="0" t="s">
        <v>15</v>
      </c>
    </row>
    <row r="12" customFormat="false" ht="15" hidden="false" customHeight="false" outlineLevel="0" collapsed="false">
      <c r="A12" s="0" t="n">
        <v>11</v>
      </c>
      <c r="B12" s="0" t="n">
        <v>0.026</v>
      </c>
      <c r="C12" s="0" t="n">
        <v>156.206</v>
      </c>
      <c r="D12" s="0" t="n">
        <v>139.333</v>
      </c>
      <c r="E12" s="0" t="n">
        <v>208.333</v>
      </c>
      <c r="F12" s="0" t="n">
        <v>0</v>
      </c>
      <c r="G12" s="0" t="n">
        <v>0.704</v>
      </c>
    </row>
    <row r="13" customFormat="false" ht="15" hidden="false" customHeight="false" outlineLevel="0" collapsed="false">
      <c r="A13" s="0" t="n">
        <v>12</v>
      </c>
      <c r="B13" s="0" t="n">
        <v>0.026</v>
      </c>
      <c r="C13" s="0" t="n">
        <v>117.429</v>
      </c>
      <c r="D13" s="0" t="n">
        <v>64.333</v>
      </c>
      <c r="E13" s="0" t="n">
        <v>143.333</v>
      </c>
      <c r="F13" s="0" t="n">
        <v>0</v>
      </c>
      <c r="G13" s="0" t="n">
        <v>0.704</v>
      </c>
    </row>
    <row r="14" customFormat="false" ht="15" hidden="false" customHeight="false" outlineLevel="0" collapsed="false">
      <c r="A14" s="0" t="n">
        <v>13</v>
      </c>
      <c r="B14" s="0" t="n">
        <v>0.021</v>
      </c>
      <c r="C14" s="0" t="n">
        <v>131.196</v>
      </c>
      <c r="D14" s="0" t="n">
        <v>88.667</v>
      </c>
      <c r="E14" s="0" t="n">
        <v>155.667</v>
      </c>
      <c r="F14" s="0" t="n">
        <v>0</v>
      </c>
      <c r="G14" s="0" t="n">
        <v>0.563</v>
      </c>
    </row>
    <row r="15" customFormat="false" ht="15" hidden="false" customHeight="false" outlineLevel="0" collapsed="false">
      <c r="A15" s="0" t="n">
        <v>14</v>
      </c>
      <c r="B15" s="0" t="n">
        <v>0.025</v>
      </c>
      <c r="C15" s="0" t="n">
        <v>142.35</v>
      </c>
      <c r="D15" s="0" t="n">
        <v>73.667</v>
      </c>
      <c r="E15" s="0" t="n">
        <v>197.333</v>
      </c>
      <c r="F15" s="0" t="n">
        <v>0</v>
      </c>
      <c r="G15" s="0" t="n">
        <v>0.669</v>
      </c>
    </row>
    <row r="16" customFormat="false" ht="15" hidden="false" customHeight="false" outlineLevel="0" collapsed="false">
      <c r="A16" s="0" t="n">
        <v>15</v>
      </c>
      <c r="B16" s="0" t="n">
        <v>0.025</v>
      </c>
      <c r="C16" s="0" t="n">
        <v>134.433</v>
      </c>
      <c r="D16" s="0" t="n">
        <v>77.667</v>
      </c>
      <c r="E16" s="0" t="n">
        <v>174.333</v>
      </c>
      <c r="F16" s="0" t="n">
        <v>0</v>
      </c>
      <c r="G16" s="0" t="n">
        <v>0.669</v>
      </c>
    </row>
    <row r="17" customFormat="false" ht="15" hidden="false" customHeight="false" outlineLevel="0" collapsed="false">
      <c r="A17" s="0" t="n">
        <v>16</v>
      </c>
      <c r="B17" s="0" t="n">
        <v>0.022</v>
      </c>
      <c r="C17" s="0" t="n">
        <v>169.056</v>
      </c>
      <c r="D17" s="0" t="n">
        <v>144.333</v>
      </c>
      <c r="E17" s="0" t="n">
        <v>206.667</v>
      </c>
      <c r="F17" s="0" t="n">
        <v>0</v>
      </c>
      <c r="G17" s="0" t="n">
        <v>0.599</v>
      </c>
    </row>
    <row r="18" customFormat="false" ht="15" hidden="false" customHeight="false" outlineLevel="0" collapsed="false">
      <c r="A18" s="0" t="n">
        <v>17</v>
      </c>
      <c r="B18" s="0" t="n">
        <v>0.022</v>
      </c>
      <c r="C18" s="0" t="n">
        <v>134.185</v>
      </c>
      <c r="D18" s="0" t="n">
        <v>92.667</v>
      </c>
      <c r="E18" s="0" t="n">
        <v>171.667</v>
      </c>
      <c r="F18" s="0" t="n">
        <v>0</v>
      </c>
      <c r="G18" s="0" t="n">
        <v>0.599</v>
      </c>
    </row>
    <row r="19" customFormat="false" ht="15" hidden="false" customHeight="false" outlineLevel="0" collapsed="false">
      <c r="A19" s="0" t="n">
        <v>18</v>
      </c>
      <c r="B19" s="0" t="n">
        <v>0.024</v>
      </c>
      <c r="C19" s="0" t="n">
        <v>161.825</v>
      </c>
      <c r="D19" s="0" t="n">
        <v>131.333</v>
      </c>
      <c r="E19" s="0" t="n">
        <v>200.667</v>
      </c>
      <c r="F19" s="0" t="n">
        <v>0</v>
      </c>
      <c r="G19" s="0" t="n">
        <v>0.634</v>
      </c>
    </row>
    <row r="20" customFormat="false" ht="15" hidden="false" customHeight="false" outlineLevel="0" collapsed="false">
      <c r="A20" s="0" t="n">
        <v>19</v>
      </c>
      <c r="B20" s="0" t="n">
        <v>0.027</v>
      </c>
      <c r="C20" s="0" t="n">
        <v>155.909</v>
      </c>
      <c r="D20" s="0" t="n">
        <v>133</v>
      </c>
      <c r="E20" s="0" t="n">
        <v>193</v>
      </c>
      <c r="F20" s="0" t="n">
        <v>0</v>
      </c>
      <c r="G20" s="0" t="n">
        <v>0.739</v>
      </c>
    </row>
    <row r="21" customFormat="false" ht="15" hidden="false" customHeight="false" outlineLevel="0" collapsed="false">
      <c r="A21" s="0" t="n">
        <v>20</v>
      </c>
      <c r="B21" s="0" t="n">
        <v>0.024</v>
      </c>
      <c r="C21" s="0" t="n">
        <v>165.509</v>
      </c>
      <c r="D21" s="0" t="n">
        <v>110.667</v>
      </c>
      <c r="E21" s="0" t="n">
        <v>205.333</v>
      </c>
      <c r="F21" s="0" t="n">
        <v>0</v>
      </c>
      <c r="G21" s="0" t="n">
        <v>0.634</v>
      </c>
    </row>
    <row r="22" customFormat="false" ht="15" hidden="false" customHeight="false" outlineLevel="0" collapsed="false">
      <c r="A22" s="0" t="n">
        <v>21</v>
      </c>
      <c r="B22" s="0" t="n">
        <v>0.024</v>
      </c>
      <c r="C22" s="0" t="n">
        <v>147.614</v>
      </c>
      <c r="D22" s="0" t="n">
        <v>113.667</v>
      </c>
      <c r="E22" s="0" t="n">
        <v>184.333</v>
      </c>
      <c r="F22" s="0" t="n">
        <v>0</v>
      </c>
      <c r="G22" s="0" t="n">
        <v>0.634</v>
      </c>
    </row>
    <row r="23" customFormat="false" ht="15" hidden="false" customHeight="false" outlineLevel="0" collapsed="false">
      <c r="A23" s="0" t="n">
        <v>22</v>
      </c>
      <c r="B23" s="0" t="n">
        <v>0.024</v>
      </c>
      <c r="C23" s="0" t="n">
        <v>147.456</v>
      </c>
      <c r="D23" s="0" t="n">
        <v>129.333</v>
      </c>
      <c r="E23" s="0" t="n">
        <v>216.333</v>
      </c>
      <c r="F23" s="0" t="n">
        <v>0</v>
      </c>
      <c r="G23" s="0" t="n">
        <v>0.634</v>
      </c>
    </row>
    <row r="24" customFormat="false" ht="15" hidden="false" customHeight="false" outlineLevel="0" collapsed="false">
      <c r="A24" s="0" t="n">
        <v>23</v>
      </c>
      <c r="B24" s="0" t="n">
        <v>0.022</v>
      </c>
      <c r="C24" s="0" t="n">
        <v>152.537</v>
      </c>
      <c r="D24" s="0" t="n">
        <v>134.333</v>
      </c>
      <c r="E24" s="0" t="n">
        <v>191.333</v>
      </c>
      <c r="F24" s="0" t="n">
        <v>0</v>
      </c>
      <c r="G24" s="0" t="n">
        <v>0.599</v>
      </c>
    </row>
    <row r="25" customFormat="false" ht="15" hidden="false" customHeight="false" outlineLevel="0" collapsed="false">
      <c r="A25" s="0" t="n">
        <v>24</v>
      </c>
      <c r="B25" s="0" t="n">
        <v>0.025</v>
      </c>
      <c r="C25" s="0" t="n">
        <v>159.067</v>
      </c>
      <c r="D25" s="0" t="n">
        <v>134.333</v>
      </c>
      <c r="E25" s="0" t="n">
        <v>202.333</v>
      </c>
      <c r="F25" s="0" t="n">
        <v>0</v>
      </c>
      <c r="G25" s="0" t="n">
        <v>0.669</v>
      </c>
    </row>
    <row r="26" customFormat="false" ht="15" hidden="false" customHeight="false" outlineLevel="0" collapsed="false">
      <c r="A26" s="0" t="n">
        <v>25</v>
      </c>
      <c r="B26" s="0" t="n">
        <v>0.021</v>
      </c>
      <c r="C26" s="0" t="n">
        <v>132.157</v>
      </c>
      <c r="D26" s="0" t="n">
        <v>120.667</v>
      </c>
      <c r="E26" s="0" t="n">
        <v>148</v>
      </c>
      <c r="F26" s="0" t="n">
        <v>0</v>
      </c>
      <c r="G26" s="0" t="n">
        <v>0.563</v>
      </c>
    </row>
    <row r="27" customFormat="false" ht="15" hidden="false" customHeight="false" outlineLevel="0" collapsed="false">
      <c r="A27" s="0" t="n">
        <v>26</v>
      </c>
      <c r="B27" s="0" t="n">
        <v>0.022</v>
      </c>
      <c r="C27" s="0" t="n">
        <v>149.241</v>
      </c>
      <c r="D27" s="0" t="n">
        <v>100.667</v>
      </c>
      <c r="E27" s="0" t="n">
        <v>242.667</v>
      </c>
      <c r="F27" s="0" t="n">
        <v>0</v>
      </c>
      <c r="G27" s="0" t="n">
        <v>0.599</v>
      </c>
    </row>
    <row r="28" customFormat="false" ht="15" hidden="false" customHeight="false" outlineLevel="0" collapsed="false">
      <c r="A28" s="0" t="n">
        <v>27</v>
      </c>
      <c r="B28" s="0" t="n">
        <v>0.024</v>
      </c>
      <c r="C28" s="0" t="n">
        <v>148.07</v>
      </c>
      <c r="D28" s="0" t="n">
        <v>115.667</v>
      </c>
      <c r="E28" s="0" t="n">
        <v>187.667</v>
      </c>
      <c r="F28" s="0" t="n">
        <v>0</v>
      </c>
      <c r="G28" s="0" t="n">
        <v>0.634</v>
      </c>
    </row>
    <row r="29" customFormat="false" ht="15" hidden="false" customHeight="false" outlineLevel="0" collapsed="false">
      <c r="A29" s="0" t="n">
        <v>28</v>
      </c>
      <c r="B29" s="0" t="n">
        <v>0.022</v>
      </c>
      <c r="C29" s="0" t="n">
        <v>149.296</v>
      </c>
      <c r="D29" s="0" t="n">
        <v>130.333</v>
      </c>
      <c r="E29" s="0" t="n">
        <v>196.333</v>
      </c>
      <c r="F29" s="0" t="n">
        <v>0</v>
      </c>
      <c r="G29" s="0" t="n">
        <v>0.599</v>
      </c>
    </row>
    <row r="30" customFormat="false" ht="15" hidden="false" customHeight="false" outlineLevel="0" collapsed="false">
      <c r="A30" s="0" t="n">
        <v>29</v>
      </c>
      <c r="B30" s="0" t="n">
        <v>0.021</v>
      </c>
      <c r="C30" s="0" t="n">
        <v>170.608</v>
      </c>
      <c r="D30" s="0" t="n">
        <v>149</v>
      </c>
      <c r="E30" s="0" t="n">
        <v>232.667</v>
      </c>
      <c r="F30" s="0" t="n">
        <v>0</v>
      </c>
      <c r="G30" s="0" t="n">
        <v>0.563</v>
      </c>
    </row>
    <row r="31" customFormat="false" ht="15" hidden="false" customHeight="false" outlineLevel="0" collapsed="false">
      <c r="A31" s="0" t="n">
        <v>30</v>
      </c>
      <c r="B31" s="0" t="n">
        <v>0.025</v>
      </c>
      <c r="C31" s="0" t="n">
        <v>135.267</v>
      </c>
      <c r="D31" s="0" t="n">
        <v>115.333</v>
      </c>
      <c r="E31" s="0" t="n">
        <v>157.667</v>
      </c>
      <c r="F31" s="0" t="n">
        <v>0</v>
      </c>
      <c r="G31" s="0" t="n">
        <v>0.669</v>
      </c>
    </row>
    <row r="32" customFormat="false" ht="15" hidden="false" customHeight="false" outlineLevel="0" collapsed="false">
      <c r="A32" s="0" t="n">
        <v>31</v>
      </c>
      <c r="B32" s="0" t="n">
        <v>0.02</v>
      </c>
      <c r="C32" s="0" t="n">
        <v>165.25</v>
      </c>
      <c r="D32" s="0" t="n">
        <v>138.333</v>
      </c>
      <c r="E32" s="0" t="n">
        <v>209.667</v>
      </c>
      <c r="F32" s="0" t="n">
        <v>0</v>
      </c>
      <c r="G32" s="0" t="n">
        <v>0.528</v>
      </c>
    </row>
    <row r="33" customFormat="false" ht="15" hidden="false" customHeight="false" outlineLevel="0" collapsed="false">
      <c r="A33" s="0" t="n">
        <v>32</v>
      </c>
      <c r="B33" s="0" t="n">
        <v>0.022</v>
      </c>
      <c r="C33" s="0" t="n">
        <v>172.944</v>
      </c>
      <c r="D33" s="0" t="n">
        <v>144</v>
      </c>
      <c r="E33" s="0" t="n">
        <v>236.333</v>
      </c>
      <c r="F33" s="0" t="n">
        <v>0</v>
      </c>
      <c r="G33" s="0" t="n">
        <v>0.599</v>
      </c>
    </row>
    <row r="34" customFormat="false" ht="15" hidden="false" customHeight="false" outlineLevel="0" collapsed="false">
      <c r="A34" s="0" t="n">
        <v>33</v>
      </c>
      <c r="B34" s="0" t="n">
        <v>0.022</v>
      </c>
      <c r="C34" s="0" t="n">
        <v>160.759</v>
      </c>
      <c r="D34" s="0" t="n">
        <v>138.667</v>
      </c>
      <c r="E34" s="0" t="n">
        <v>213.333</v>
      </c>
      <c r="F34" s="0" t="n">
        <v>0</v>
      </c>
      <c r="G34" s="0" t="n">
        <v>0.599</v>
      </c>
    </row>
    <row r="35" customFormat="false" ht="15" hidden="false" customHeight="false" outlineLevel="0" collapsed="false">
      <c r="A35" s="0" t="n">
        <v>34</v>
      </c>
      <c r="B35" s="0" t="n">
        <v>0.021</v>
      </c>
      <c r="C35" s="0" t="n">
        <v>172.017</v>
      </c>
      <c r="D35" s="0" t="n">
        <v>147.333</v>
      </c>
      <c r="E35" s="0" t="n">
        <v>240.333</v>
      </c>
      <c r="F35" s="0" t="n">
        <v>0</v>
      </c>
      <c r="G35" s="0" t="n">
        <v>0.572</v>
      </c>
    </row>
    <row r="36" customFormat="false" ht="15" hidden="false" customHeight="false" outlineLevel="0" collapsed="false">
      <c r="A36" s="0" t="n">
        <v>35</v>
      </c>
      <c r="B36" s="0" t="n">
        <v>0.024</v>
      </c>
      <c r="C36" s="0" t="n">
        <v>152.254</v>
      </c>
      <c r="D36" s="0" t="n">
        <v>119.981</v>
      </c>
      <c r="E36" s="0" t="n">
        <v>229.62</v>
      </c>
      <c r="F36" s="0" t="n">
        <v>0</v>
      </c>
      <c r="G36" s="0" t="n">
        <v>0.625</v>
      </c>
    </row>
    <row r="37" customFormat="false" ht="15" hidden="false" customHeight="false" outlineLevel="0" collapsed="false">
      <c r="A37" s="0" t="n">
        <v>36</v>
      </c>
      <c r="B37" s="0" t="n">
        <v>0.024</v>
      </c>
      <c r="C37" s="0" t="n">
        <v>152.906</v>
      </c>
      <c r="D37" s="0" t="n">
        <v>137.167</v>
      </c>
      <c r="E37" s="0" t="n">
        <v>177.889</v>
      </c>
      <c r="F37" s="0" t="n">
        <v>0</v>
      </c>
      <c r="G37" s="0" t="n">
        <v>0.622</v>
      </c>
    </row>
    <row r="38" customFormat="false" ht="15" hidden="false" customHeight="false" outlineLevel="0" collapsed="false">
      <c r="A38" s="0" t="n">
        <v>37</v>
      </c>
      <c r="B38" s="0" t="n">
        <v>0.02</v>
      </c>
      <c r="C38" s="0" t="n">
        <v>137.306</v>
      </c>
      <c r="D38" s="0" t="n">
        <v>123.389</v>
      </c>
      <c r="E38" s="0" t="n">
        <v>178.593</v>
      </c>
      <c r="F38" s="0" t="n">
        <v>0</v>
      </c>
      <c r="G38" s="0" t="n">
        <v>0.528</v>
      </c>
    </row>
    <row r="39" customFormat="false" ht="15" hidden="false" customHeight="false" outlineLevel="0" collapsed="false">
      <c r="A39" s="0" t="n">
        <v>38</v>
      </c>
      <c r="B39" s="0" t="n">
        <v>0.022</v>
      </c>
      <c r="C39" s="0" t="n">
        <v>179.796</v>
      </c>
      <c r="D39" s="0" t="n">
        <v>149.5</v>
      </c>
      <c r="E39" s="0" t="n">
        <v>217</v>
      </c>
      <c r="F39" s="0" t="n">
        <v>0</v>
      </c>
      <c r="G39" s="0" t="n">
        <v>0.599</v>
      </c>
    </row>
    <row r="40" customFormat="false" ht="15" hidden="false" customHeight="false" outlineLevel="0" collapsed="false">
      <c r="A40" s="0" t="n">
        <v>39</v>
      </c>
      <c r="B40" s="0" t="n">
        <v>0.024</v>
      </c>
      <c r="C40" s="0" t="n">
        <v>168.318</v>
      </c>
      <c r="D40" s="0" t="n">
        <v>146.713</v>
      </c>
      <c r="E40" s="0" t="n">
        <v>209.386</v>
      </c>
      <c r="F40" s="0" t="n">
        <v>0</v>
      </c>
      <c r="G40" s="0" t="n">
        <v>0.616</v>
      </c>
    </row>
    <row r="41" customFormat="false" ht="15" hidden="false" customHeight="false" outlineLevel="0" collapsed="false">
      <c r="A41" s="0" t="n">
        <v>40</v>
      </c>
      <c r="B41" s="0" t="n">
        <v>0.022</v>
      </c>
      <c r="C41" s="0" t="n">
        <v>174.005</v>
      </c>
      <c r="D41" s="0" t="n">
        <v>147.389</v>
      </c>
      <c r="E41" s="0" t="n">
        <v>243.333</v>
      </c>
      <c r="F41" s="0" t="n">
        <v>0</v>
      </c>
      <c r="G41" s="0" t="n">
        <v>0.599</v>
      </c>
    </row>
    <row r="42" customFormat="false" ht="15" hidden="false" customHeight="false" outlineLevel="0" collapsed="false">
      <c r="A42" s="0" t="n">
        <v>41</v>
      </c>
      <c r="B42" s="0" t="n">
        <v>0.021</v>
      </c>
      <c r="C42" s="0" t="n">
        <v>145.673</v>
      </c>
      <c r="D42" s="0" t="n">
        <v>128.167</v>
      </c>
      <c r="E42" s="0" t="n">
        <v>190.194</v>
      </c>
      <c r="F42" s="0" t="n">
        <v>0</v>
      </c>
      <c r="G42" s="0" t="n">
        <v>0.575</v>
      </c>
    </row>
    <row r="43" customFormat="false" ht="15" hidden="false" customHeight="false" outlineLevel="0" collapsed="false">
      <c r="A43" s="0" t="n">
        <v>42</v>
      </c>
      <c r="B43" s="0" t="n">
        <v>0.025</v>
      </c>
      <c r="C43" s="0" t="n">
        <v>147.065</v>
      </c>
      <c r="D43" s="0" t="n">
        <v>124.319</v>
      </c>
      <c r="E43" s="0" t="n">
        <v>207.25</v>
      </c>
      <c r="F43" s="0" t="n">
        <v>0</v>
      </c>
      <c r="G43" s="0" t="n">
        <v>0.675</v>
      </c>
    </row>
    <row r="44" customFormat="false" ht="15" hidden="false" customHeight="false" outlineLevel="0" collapsed="false">
      <c r="A44" s="0" t="n">
        <v>43</v>
      </c>
      <c r="B44" s="0" t="n">
        <v>0.021</v>
      </c>
      <c r="C44" s="0" t="n">
        <v>163.553</v>
      </c>
      <c r="D44" s="0" t="n">
        <v>141</v>
      </c>
      <c r="E44" s="0" t="n">
        <v>220</v>
      </c>
      <c r="F44" s="0" t="n">
        <v>0</v>
      </c>
      <c r="G44" s="0" t="n">
        <v>0.569</v>
      </c>
    </row>
    <row r="45" customFormat="false" ht="15" hidden="false" customHeight="false" outlineLevel="0" collapsed="false">
      <c r="A45" s="0" t="n">
        <v>44</v>
      </c>
      <c r="B45" s="0" t="n">
        <v>0.03</v>
      </c>
      <c r="C45" s="0" t="n">
        <v>138.389</v>
      </c>
      <c r="D45" s="0" t="n">
        <v>61.667</v>
      </c>
      <c r="E45" s="0" t="n">
        <v>210.667</v>
      </c>
      <c r="F45" s="0" t="n">
        <v>0</v>
      </c>
      <c r="G45" s="0" t="n">
        <v>0.81</v>
      </c>
    </row>
    <row r="46" customFormat="false" ht="15" hidden="false" customHeight="false" outlineLevel="0" collapsed="false">
      <c r="A46" s="0" t="n">
        <v>45</v>
      </c>
      <c r="B46" s="0" t="n">
        <v>0.025</v>
      </c>
      <c r="C46" s="0" t="n">
        <v>145.25</v>
      </c>
      <c r="D46" s="0" t="n">
        <v>103.667</v>
      </c>
      <c r="E46" s="0" t="n">
        <v>191.333</v>
      </c>
      <c r="F46" s="0" t="n">
        <v>0</v>
      </c>
      <c r="G46" s="0" t="n">
        <v>0.669</v>
      </c>
    </row>
    <row r="47" customFormat="false" ht="15" hidden="false" customHeight="false" outlineLevel="0" collapsed="false">
      <c r="A47" s="0" t="n">
        <v>46</v>
      </c>
      <c r="B47" s="0" t="n">
        <v>0.025</v>
      </c>
      <c r="C47" s="0" t="n">
        <v>130.467</v>
      </c>
      <c r="D47" s="0" t="n">
        <v>107</v>
      </c>
      <c r="E47" s="0" t="n">
        <v>168.333</v>
      </c>
      <c r="F47" s="0" t="n">
        <v>0</v>
      </c>
      <c r="G47" s="0" t="n">
        <v>0.669</v>
      </c>
    </row>
    <row r="48" customFormat="false" ht="15" hidden="false" customHeight="false" outlineLevel="0" collapsed="false">
      <c r="A48" s="0" t="n">
        <v>47</v>
      </c>
      <c r="B48" s="0" t="n">
        <v>0.024</v>
      </c>
      <c r="C48" s="0" t="n">
        <v>150.754</v>
      </c>
      <c r="D48" s="0" t="n">
        <v>95.333</v>
      </c>
      <c r="E48" s="0" t="n">
        <v>184.333</v>
      </c>
      <c r="F48" s="0" t="n">
        <v>0</v>
      </c>
      <c r="G48" s="0" t="n">
        <v>0.634</v>
      </c>
    </row>
    <row r="49" customFormat="false" ht="15" hidden="false" customHeight="false" outlineLevel="0" collapsed="false">
      <c r="A49" s="0" t="n">
        <v>48</v>
      </c>
      <c r="B49" s="0" t="n">
        <v>0.022</v>
      </c>
      <c r="C49" s="0" t="n">
        <v>151.704</v>
      </c>
      <c r="D49" s="0" t="n">
        <v>133.667</v>
      </c>
      <c r="E49" s="0" t="n">
        <v>182.333</v>
      </c>
      <c r="F49" s="0" t="n">
        <v>0</v>
      </c>
      <c r="G49" s="0" t="n">
        <v>0.599</v>
      </c>
    </row>
    <row r="50" customFormat="false" ht="15" hidden="false" customHeight="false" outlineLevel="0" collapsed="false">
      <c r="A50" s="0" t="n">
        <v>49</v>
      </c>
      <c r="B50" s="0" t="n">
        <v>0.025</v>
      </c>
      <c r="C50" s="0" t="n">
        <v>155.983</v>
      </c>
      <c r="D50" s="0" t="n">
        <v>99.667</v>
      </c>
      <c r="E50" s="0" t="n">
        <v>202.667</v>
      </c>
      <c r="F50" s="0" t="n">
        <v>0</v>
      </c>
      <c r="G50" s="0" t="n">
        <v>0.669</v>
      </c>
    </row>
    <row r="51" customFormat="false" ht="15" hidden="false" customHeight="false" outlineLevel="0" collapsed="false">
      <c r="A51" s="0" t="n">
        <v>50</v>
      </c>
      <c r="B51" s="0" t="n">
        <v>0.024</v>
      </c>
      <c r="C51" s="0" t="n">
        <v>131.105</v>
      </c>
      <c r="D51" s="0" t="n">
        <v>95.333</v>
      </c>
      <c r="E51" s="0" t="n">
        <v>159.333</v>
      </c>
      <c r="F51" s="0" t="n">
        <v>0</v>
      </c>
      <c r="G51" s="0" t="n">
        <v>0.634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2026-10-19T13:42:11Z</dcterms:created>
  <dc:creator>ROMAN VERDE, LUIS ALBERTO</dc:creator>
  <dc:description/>
  <dc:language>en-US</dc:language>
  <cp:lastModifiedBy/>
  <dcterms:modified xsi:type="dcterms:W3CDTF">2026-10-19T13:46:43Z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