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<sst xmlns="http://schemas.openxmlformats.org/spreadsheetml/2006/main" count="19" uniqueCount="19">
  <si>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 </t>
  </si>
  <si>
    <t xml:space="preserve">Area</t>
  </si>
  <si>
    <t xml:space="preserve">Mean</t>
  </si>
  <si>
    <t xml:space="preserve">Min</t>
  </si>
  <si>
    <t xml:space="preserve">Max</t>
  </si>
  <si>
    <t xml:space="preserve">Diametro</t>
  </si>
  <si>
    <t xml:space="preserve">Promedio</t>
  </si>
  <si>
    <t xml:space="preserve">Desviación Estandar</t>
  </si>
  <si>
    <t xml:space="preserve">Clase (Diámetro)</t>
  </si>
  <si>
    <t xml:space="preserve">N° de partículas</t>
  </si>
  <si>
    <t xml:space="preserve">0.6 - 0.8</t>
  </si>
  <si>
    <t xml:space="preserve">0.8 - 1.0</t>
  </si>
  <si>
    <t xml:space="preserve">1.0 - 1.2</t>
  </si>
  <si>
    <t xml:space="preserve">1.2 - 1.4</t>
  </si>
  <si>
    <t xml:space="preserve">1.4 - 1.6</t>
  </si>
  <si>
    <t xml:space="preserve">1.6 - 1.8</t>
  </si>
  <si>
    <t xml:space="preserve">1.8 - 2.0</t>
  </si>
  <si>
    <t xml:space="preserve">2.0 - 2.2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</si>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</sst>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Histograma de tamaño de partícula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in!L1</c:f>
              <c:strCache>
                <c:ptCount val="1"/>
                <c:pt idx="0">
                  <c:v>N° de partículas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in!$K$2:$K$9</c:f>
              <c:strCache>
                <c:ptCount val="8"/>
                <c:pt idx="0">
                  <c:v>0.6 - 0.8</c:v>
                </c:pt>
                <c:pt idx="1">
                  <c:v>0.8 - 1.0</c:v>
                </c:pt>
                <c:pt idx="2">
                  <c:v>1.0 - 1.2</c:v>
                </c:pt>
                <c:pt idx="3">
                  <c:v>1.2 - 1.4</c:v>
                </c:pt>
                <c:pt idx="4">
                  <c:v>1.4 - 1.6</c:v>
                </c:pt>
                <c:pt idx="5">
                  <c:v>1.6 - 1.8</c:v>
                </c:pt>
                <c:pt idx="6">
                  <c:v>1.8 - 2.0</c:v>
                </c:pt>
                <c:pt idx="7">
                  <c:v>2.0 - 2.2</c:v>
                </c:pt>
              </c:strCache>
            </c:strRef>
          </c:cat>
          <c:val>
            <c:numRef>
              <c:f>in!$L$2:$L$9</c:f>
              <c:numCache>
                <c:formatCode>General</c:formatCode>
                <c:ptCount val="8"/>
                <c:pt idx="0">
                  <c:v>29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</c:ser>
        <c:gapWidth val="0"/>
        <c:overlap val="0"/>
        <c:axId val="87080872"/>
        <c:axId val="16336451"/>
      </c:barChart>
      <c:catAx>
        <c:axId val="870808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Diámetro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36451"/>
        <c:crosses val="autoZero"/>
        <c:auto val="1"/>
        <c:lblAlgn val="ctr"/>
        <c:lblOffset val="100"/>
        <c:noMultiLvlLbl val="0"/>
      </c:catAx>
      <c:valAx>
        <c:axId val="1633645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partículas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80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11</xdr:row>
      <xdr:rowOff>0</xdr:rowOff>
    </xdr:from>
    <xdr:to>
      <xdr:col>17</xdr:col>
      <xdr:colOff>289080</xdr:colOff>
      <xdr:row>28</xdr:row>
      <xdr:rowOff>1080</xdr:rowOff>
    </xdr:to>
    <xdr:graphicFrame>
      <xdr:nvGraphicFramePr>
        <xdr:cNvPr id="0" name="Chart 1"/>
        <xdr:cNvGraphicFramePr/>
      </xdr:nvGraphicFramePr>
      <xdr:xfrm>
        <a:off x="7814880" y="2095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0.76953125" defaultRowHeight="15" zeroHeight="false" outlineLevelRow="0" outlineLevelCol="0"/>
  <cols>
    <col collapsed="false" customWidth="true" hidden="false" outlineLevel="0" max="9" min="7" style="0" width="11.84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s">
        <v>6</v>
      </c>
      <c r="I1" s="0" t="s">
        <v>7</v>
      </c>
      <c r="K1" s="1" t="s">
        <v>8</v>
      </c>
      <c r="L1" s="1" t="s">
        <v>9</v>
      </c>
    </row>
    <row r="2" customFormat="false" ht="15" hidden="false" customHeight="false" outlineLevel="0" collapsed="false">
      <c r="A2" s="0" t="n">
        <v>1</v>
      </c>
      <c r="B2" s="0" t="n">
        <v>0.3</v>
      </c>
      <c r="C2" s="0" t="n">
        <v>142.76</v>
      </c>
      <c r="D2" s="0" t="n">
        <v>92</v>
      </c>
      <c r="E2" s="0" t="n">
        <v>175</v>
      </c>
      <c r="G2" s="0" t="n">
        <f aca="false">SQRT(B2/3.14)*2</f>
        <v>0.618195442473933</v>
      </c>
      <c r="H2" s="0" t="n">
        <f aca="false">AVERAGE(G2:G51)</f>
        <v>1.09238306263174</v>
      </c>
      <c r="I2" s="0" t="n">
        <f aca="false">_xlfn.STDEV.P(G2:G51)</f>
        <v>0.532125777614111</v>
      </c>
      <c r="K2" s="0" t="s">
        <v>10</v>
      </c>
      <c r="L2" s="0" t="n">
        <f aca="false">COUNTIFS($G$2:$G$51,"&gt;=0.6",$G$2:$G$51,"&lt;0.8")</f>
        <v>29</v>
      </c>
    </row>
    <row r="3" customFormat="false" ht="15" hidden="false" customHeight="false" outlineLevel="0" collapsed="false">
      <c r="A3" s="0" t="n">
        <v>2</v>
      </c>
      <c r="B3" s="0" t="n">
        <v>0.422</v>
      </c>
      <c r="C3" s="0" t="n">
        <v>148.519</v>
      </c>
      <c r="D3" s="0" t="n">
        <v>87</v>
      </c>
      <c r="E3" s="0" t="n">
        <v>207</v>
      </c>
      <c r="G3" s="0" t="n">
        <f aca="false">SQRT(B3/3.14)*2</f>
        <v>0.733198211832513</v>
      </c>
      <c r="K3" s="0" t="s">
        <v>11</v>
      </c>
      <c r="L3" s="0" t="n">
        <f aca="false">COUNTIFS($G$2:$G$51,"&gt;=0.8",$G$2:$G$51,"&lt;1.0")</f>
        <v>1</v>
      </c>
    </row>
    <row r="4" customFormat="false" ht="15" hidden="false" customHeight="false" outlineLevel="0" collapsed="false">
      <c r="A4" s="0" t="n">
        <v>3</v>
      </c>
      <c r="B4" s="0" t="n">
        <v>0.391</v>
      </c>
      <c r="C4" s="0" t="n">
        <v>133.126</v>
      </c>
      <c r="D4" s="0" t="n">
        <v>65</v>
      </c>
      <c r="E4" s="0" t="n">
        <v>189</v>
      </c>
      <c r="G4" s="0" t="n">
        <f aca="false">SQRT(B4/3.14)*2</f>
        <v>0.705754328342747</v>
      </c>
      <c r="K4" s="0" t="s">
        <v>12</v>
      </c>
      <c r="L4" s="0" t="n">
        <f aca="false">COUNTIFS($G$2:$G$51,"&gt;=1.0",$G$2:$G$51,"&lt;1.2")</f>
        <v>3</v>
      </c>
    </row>
    <row r="5" customFormat="false" ht="15" hidden="false" customHeight="false" outlineLevel="0" collapsed="false">
      <c r="A5" s="0" t="n">
        <v>4</v>
      </c>
      <c r="B5" s="0" t="n">
        <v>0.391</v>
      </c>
      <c r="C5" s="0" t="n">
        <v>154.242</v>
      </c>
      <c r="D5" s="0" t="n">
        <v>49</v>
      </c>
      <c r="E5" s="0" t="n">
        <v>248</v>
      </c>
      <c r="G5" s="0" t="n">
        <f aca="false">SQRT(B5/3.14)*2</f>
        <v>0.705754328342747</v>
      </c>
      <c r="K5" s="0" t="s">
        <v>13</v>
      </c>
      <c r="L5" s="0" t="n">
        <f aca="false">COUNTIFS($G$2:$G$51,"&gt;=1.2",$G$2:$G$51,"&lt;1.4")</f>
        <v>2</v>
      </c>
    </row>
    <row r="6" customFormat="false" ht="15" hidden="false" customHeight="false" outlineLevel="0" collapsed="false">
      <c r="A6" s="0" t="n">
        <v>5</v>
      </c>
      <c r="B6" s="0" t="n">
        <v>0.391</v>
      </c>
      <c r="C6" s="0" t="n">
        <v>144.471</v>
      </c>
      <c r="D6" s="0" t="n">
        <v>66</v>
      </c>
      <c r="E6" s="0" t="n">
        <v>228</v>
      </c>
      <c r="G6" s="0" t="n">
        <f aca="false">SQRT(B6/3.14)*2</f>
        <v>0.705754328342747</v>
      </c>
      <c r="K6" s="0" t="s">
        <v>14</v>
      </c>
      <c r="L6" s="0" t="n">
        <f aca="false">COUNTIFS($G$2:$G$51,"&gt;=1.4",$G$2:$G$51,"&lt;1.6")</f>
        <v>3</v>
      </c>
    </row>
    <row r="7" customFormat="false" ht="15" hidden="false" customHeight="false" outlineLevel="0" collapsed="false">
      <c r="A7" s="0" t="n">
        <v>6</v>
      </c>
      <c r="B7" s="0" t="n">
        <v>0.385</v>
      </c>
      <c r="C7" s="0" t="n">
        <v>146.142</v>
      </c>
      <c r="D7" s="0" t="n">
        <v>67</v>
      </c>
      <c r="E7" s="0" t="n">
        <v>210</v>
      </c>
      <c r="G7" s="0" t="n">
        <f aca="false">SQRT(B7/3.14)*2</f>
        <v>0.700318398924812</v>
      </c>
      <c r="K7" s="0" t="s">
        <v>15</v>
      </c>
      <c r="L7" s="0" t="n">
        <f aca="false">COUNTIFS($G$2:$G$51,"&gt;=1.6",$G$2:$G$51,"&lt;1.8")</f>
        <v>3</v>
      </c>
    </row>
    <row r="8" customFormat="false" ht="15" hidden="false" customHeight="false" outlineLevel="0" collapsed="false">
      <c r="A8" s="0" t="n">
        <v>7</v>
      </c>
      <c r="B8" s="0" t="n">
        <v>0.401</v>
      </c>
      <c r="C8" s="0" t="n">
        <v>154.957</v>
      </c>
      <c r="D8" s="0" t="n">
        <v>44</v>
      </c>
      <c r="E8" s="0" t="n">
        <v>251</v>
      </c>
      <c r="G8" s="0" t="n">
        <f aca="false">SQRT(B8/3.14)*2</f>
        <v>0.714722341526909</v>
      </c>
      <c r="K8" s="0" t="s">
        <v>16</v>
      </c>
      <c r="L8" s="0" t="n">
        <f aca="false">COUNTIFS($G$2:$G$51,"&gt;=1.8",$G$2:$G$51,"&lt;2.0")</f>
        <v>4</v>
      </c>
    </row>
    <row r="9" customFormat="false" ht="15" hidden="false" customHeight="false" outlineLevel="0" collapsed="false">
      <c r="A9" s="0" t="n">
        <v>8</v>
      </c>
      <c r="B9" s="0" t="n">
        <v>0.391</v>
      </c>
      <c r="C9" s="0" t="n">
        <v>149.816</v>
      </c>
      <c r="D9" s="0" t="n">
        <v>69</v>
      </c>
      <c r="E9" s="0" t="n">
        <v>220</v>
      </c>
      <c r="G9" s="0" t="n">
        <f aca="false">SQRT(B9/3.14)*2</f>
        <v>0.705754328342747</v>
      </c>
      <c r="K9" s="0" t="s">
        <v>17</v>
      </c>
      <c r="L9" s="0" t="n">
        <f aca="false">COUNTIFS($G$2:$G$51,"&gt;=2.0",$G$2:$G$51,"&lt;2.2")</f>
        <v>5</v>
      </c>
    </row>
    <row r="10" customFormat="false" ht="15" hidden="false" customHeight="false" outlineLevel="0" collapsed="false">
      <c r="A10" s="0" t="n">
        <v>9</v>
      </c>
      <c r="B10" s="0" t="n">
        <v>0.534</v>
      </c>
      <c r="C10" s="0" t="n">
        <v>150.548</v>
      </c>
      <c r="D10" s="0" t="n">
        <v>57</v>
      </c>
      <c r="E10" s="0" t="n">
        <v>213</v>
      </c>
      <c r="G10" s="0" t="n">
        <f aca="false">SQRT(B10/3.14)*2</f>
        <v>0.824775591946115</v>
      </c>
      <c r="K10" s="1" t="s">
        <v>18</v>
      </c>
      <c r="L10" s="1" t="n">
        <f aca="false">SUM(L2:L9)</f>
        <v>50</v>
      </c>
    </row>
    <row r="11" customFormat="false" ht="15" hidden="false" customHeight="false" outlineLevel="0" collapsed="false">
      <c r="A11" s="0" t="n">
        <v>10</v>
      </c>
      <c r="B11" s="0" t="n">
        <v>0.391</v>
      </c>
      <c r="C11" s="0" t="n">
        <v>164.72</v>
      </c>
      <c r="D11" s="0" t="n">
        <v>75</v>
      </c>
      <c r="E11" s="0" t="n">
        <v>254</v>
      </c>
      <c r="G11" s="0" t="n">
        <f aca="false">SQRT(B11/3.14)*2</f>
        <v>0.705754328342747</v>
      </c>
    </row>
    <row r="12" customFormat="false" ht="15" hidden="false" customHeight="false" outlineLevel="0" collapsed="false">
      <c r="A12" s="0" t="n">
        <v>11</v>
      </c>
      <c r="B12" s="0" t="n">
        <v>0.358</v>
      </c>
      <c r="C12" s="0" t="n">
        <v>154.168</v>
      </c>
      <c r="D12" s="0" t="n">
        <v>68</v>
      </c>
      <c r="E12" s="0" t="n">
        <v>227</v>
      </c>
      <c r="G12" s="0" t="n">
        <f aca="false">SQRT(B12/3.14)*2</f>
        <v>0.6753154488193</v>
      </c>
    </row>
    <row r="13" customFormat="false" ht="15" hidden="false" customHeight="false" outlineLevel="0" collapsed="false">
      <c r="A13" s="0" t="n">
        <v>12</v>
      </c>
      <c r="B13" s="0" t="n">
        <v>0.342</v>
      </c>
      <c r="C13" s="0" t="n">
        <v>157.578</v>
      </c>
      <c r="D13" s="0" t="n">
        <v>113</v>
      </c>
      <c r="E13" s="0" t="n">
        <v>252</v>
      </c>
      <c r="G13" s="0" t="n">
        <f aca="false">SQRT(B13/3.14)*2</f>
        <v>0.66005211143433</v>
      </c>
    </row>
    <row r="14" customFormat="false" ht="15" hidden="false" customHeight="false" outlineLevel="0" collapsed="false">
      <c r="A14" s="0" t="n">
        <v>13</v>
      </c>
      <c r="B14" s="0" t="n">
        <v>0.34</v>
      </c>
      <c r="C14" s="0" t="n">
        <v>168.545</v>
      </c>
      <c r="D14" s="0" t="n">
        <v>59</v>
      </c>
      <c r="E14" s="0" t="n">
        <v>229</v>
      </c>
      <c r="G14" s="0" t="n">
        <f aca="false">SQRT(B14/3.14)*2</f>
        <v>0.658119304616025</v>
      </c>
    </row>
    <row r="15" customFormat="false" ht="15" hidden="false" customHeight="false" outlineLevel="0" collapsed="false">
      <c r="A15" s="0" t="n">
        <v>14</v>
      </c>
      <c r="B15" s="0" t="n">
        <v>0.34</v>
      </c>
      <c r="C15" s="0" t="n">
        <v>149.004</v>
      </c>
      <c r="D15" s="0" t="n">
        <v>112</v>
      </c>
      <c r="E15" s="0" t="n">
        <v>216</v>
      </c>
      <c r="G15" s="0" t="n">
        <f aca="false">SQRT(B15/3.14)*2</f>
        <v>0.658119304616025</v>
      </c>
    </row>
    <row r="16" customFormat="false" ht="15" hidden="false" customHeight="false" outlineLevel="0" collapsed="false">
      <c r="A16" s="0" t="n">
        <v>15</v>
      </c>
      <c r="B16" s="0" t="n">
        <v>0.438</v>
      </c>
      <c r="C16" s="0" t="n">
        <v>150.643</v>
      </c>
      <c r="D16" s="0" t="n">
        <v>89</v>
      </c>
      <c r="E16" s="0" t="n">
        <v>196</v>
      </c>
      <c r="G16" s="0" t="n">
        <f aca="false">SQRT(B16/3.14)*2</f>
        <v>0.746968395207917</v>
      </c>
    </row>
    <row r="17" customFormat="false" ht="15" hidden="false" customHeight="false" outlineLevel="0" collapsed="false">
      <c r="A17" s="0" t="n">
        <v>16</v>
      </c>
      <c r="B17" s="0" t="n">
        <v>0.358</v>
      </c>
      <c r="C17" s="0" t="n">
        <v>168.422</v>
      </c>
      <c r="D17" s="0" t="n">
        <v>96</v>
      </c>
      <c r="E17" s="0" t="n">
        <v>225</v>
      </c>
      <c r="G17" s="0" t="n">
        <f aca="false">SQRT(B17/3.14)*2</f>
        <v>0.6753154488193</v>
      </c>
    </row>
    <row r="18" customFormat="false" ht="15" hidden="false" customHeight="false" outlineLevel="0" collapsed="false">
      <c r="A18" s="0" t="n">
        <v>17</v>
      </c>
      <c r="B18" s="0" t="n">
        <v>0.342</v>
      </c>
      <c r="C18" s="0" t="n">
        <v>155.324</v>
      </c>
      <c r="D18" s="0" t="n">
        <v>110</v>
      </c>
      <c r="E18" s="0" t="n">
        <v>202</v>
      </c>
      <c r="G18" s="0" t="n">
        <f aca="false">SQRT(B18/3.14)*2</f>
        <v>0.66005211143433</v>
      </c>
    </row>
    <row r="19" customFormat="false" ht="15" hidden="false" customHeight="false" outlineLevel="0" collapsed="false">
      <c r="A19" s="0" t="n">
        <v>18</v>
      </c>
      <c r="B19" s="0" t="n">
        <v>0.342</v>
      </c>
      <c r="C19" s="0" t="n">
        <v>148.777</v>
      </c>
      <c r="D19" s="0" t="n">
        <v>68</v>
      </c>
      <c r="E19" s="0" t="n">
        <v>217</v>
      </c>
      <c r="G19" s="0" t="n">
        <f aca="false">SQRT(B19/3.14)*2</f>
        <v>0.66005211143433</v>
      </c>
    </row>
    <row r="20" customFormat="false" ht="15" hidden="false" customHeight="false" outlineLevel="0" collapsed="false">
      <c r="A20" s="0" t="n">
        <v>19</v>
      </c>
      <c r="B20" s="0" t="n">
        <v>0.358</v>
      </c>
      <c r="C20" s="0" t="n">
        <v>153.66</v>
      </c>
      <c r="D20" s="0" t="n">
        <v>60</v>
      </c>
      <c r="E20" s="0" t="n">
        <v>220</v>
      </c>
      <c r="G20" s="0" t="n">
        <f aca="false">SQRT(B20/3.14)*2</f>
        <v>0.6753154488193</v>
      </c>
    </row>
    <row r="21" customFormat="false" ht="15" hidden="false" customHeight="false" outlineLevel="0" collapsed="false">
      <c r="A21" s="0" t="n">
        <v>20</v>
      </c>
      <c r="B21" s="0" t="n">
        <v>0.385</v>
      </c>
      <c r="C21" s="0" t="n">
        <v>150.427</v>
      </c>
      <c r="D21" s="0" t="n">
        <v>63</v>
      </c>
      <c r="E21" s="0" t="n">
        <v>205</v>
      </c>
      <c r="G21" s="0" t="n">
        <f aca="false">SQRT(B21/3.14)*2</f>
        <v>0.700318398924812</v>
      </c>
    </row>
    <row r="22" customFormat="false" ht="15" hidden="false" customHeight="false" outlineLevel="0" collapsed="false">
      <c r="A22" s="0" t="n">
        <v>21</v>
      </c>
      <c r="B22" s="0" t="n">
        <v>0.401</v>
      </c>
      <c r="C22" s="0" t="n">
        <v>147.96</v>
      </c>
      <c r="D22" s="0" t="n">
        <v>55</v>
      </c>
      <c r="E22" s="0" t="n">
        <v>226</v>
      </c>
      <c r="G22" s="0" t="n">
        <f aca="false">SQRT(B22/3.14)*2</f>
        <v>0.714722341526909</v>
      </c>
    </row>
    <row r="23" customFormat="false" ht="15" hidden="false" customHeight="false" outlineLevel="0" collapsed="false">
      <c r="A23" s="0" t="n">
        <v>22</v>
      </c>
      <c r="B23" s="0" t="n">
        <v>0.366</v>
      </c>
      <c r="C23" s="0" t="n">
        <v>148.934</v>
      </c>
      <c r="D23" s="0" t="n">
        <v>102</v>
      </c>
      <c r="E23" s="0" t="n">
        <v>223</v>
      </c>
      <c r="G23" s="0" t="n">
        <f aca="false">SQRT(B23/3.14)*2</f>
        <v>0.682819184130441</v>
      </c>
    </row>
    <row r="24" customFormat="false" ht="15" hidden="false" customHeight="false" outlineLevel="0" collapsed="false">
      <c r="A24" s="0" t="n">
        <v>23</v>
      </c>
      <c r="B24" s="0" t="n">
        <v>0.401</v>
      </c>
      <c r="C24" s="0" t="n">
        <v>154.07</v>
      </c>
      <c r="D24" s="0" t="n">
        <v>65</v>
      </c>
      <c r="E24" s="0" t="n">
        <v>220</v>
      </c>
      <c r="G24" s="0" t="n">
        <f aca="false">SQRT(B24/3.14)*2</f>
        <v>0.714722341526909</v>
      </c>
    </row>
    <row r="25" customFormat="false" ht="15" hidden="false" customHeight="false" outlineLevel="0" collapsed="false">
      <c r="A25" s="0" t="n">
        <v>24</v>
      </c>
      <c r="B25" s="0" t="n">
        <v>0.385</v>
      </c>
      <c r="C25" s="0" t="n">
        <v>162.09</v>
      </c>
      <c r="D25" s="0" t="n">
        <v>71</v>
      </c>
      <c r="E25" s="0" t="n">
        <v>241</v>
      </c>
      <c r="G25" s="0" t="n">
        <f aca="false">SQRT(B25/3.14)*2</f>
        <v>0.700318398924812</v>
      </c>
    </row>
    <row r="26" customFormat="false" ht="15" hidden="false" customHeight="false" outlineLevel="0" collapsed="false">
      <c r="A26" s="0" t="n">
        <v>25</v>
      </c>
      <c r="B26" s="0" t="n">
        <v>0.401</v>
      </c>
      <c r="C26" s="0" t="n">
        <v>149.997</v>
      </c>
      <c r="D26" s="0" t="n">
        <v>67</v>
      </c>
      <c r="E26" s="0" t="n">
        <v>253</v>
      </c>
      <c r="G26" s="0" t="n">
        <f aca="false">SQRT(B26/3.14)*2</f>
        <v>0.714722341526909</v>
      </c>
    </row>
    <row r="27" customFormat="false" ht="15" hidden="false" customHeight="false" outlineLevel="0" collapsed="false">
      <c r="A27" s="0" t="n">
        <v>26</v>
      </c>
      <c r="B27" s="0" t="n">
        <v>0.363</v>
      </c>
      <c r="C27" s="0" t="n">
        <v>167.176</v>
      </c>
      <c r="D27" s="0" t="n">
        <v>55</v>
      </c>
      <c r="E27" s="0" t="n">
        <v>247</v>
      </c>
      <c r="G27" s="0" t="n">
        <f aca="false">SQRT(B27/3.14)*2</f>
        <v>0.680014986721326</v>
      </c>
    </row>
    <row r="28" customFormat="false" ht="15" hidden="false" customHeight="false" outlineLevel="0" collapsed="false">
      <c r="A28" s="0" t="n">
        <v>27</v>
      </c>
      <c r="B28" s="0" t="n">
        <v>1.047</v>
      </c>
      <c r="C28" s="0" t="n">
        <v>155.228</v>
      </c>
      <c r="D28" s="0" t="n">
        <v>55</v>
      </c>
      <c r="E28" s="0" t="n">
        <v>247</v>
      </c>
      <c r="G28" s="0" t="n">
        <f aca="false">SQRT(B28/3.14)*2</f>
        <v>1.15488439325477</v>
      </c>
    </row>
    <row r="29" customFormat="false" ht="15" hidden="false" customHeight="false" outlineLevel="0" collapsed="false">
      <c r="A29" s="0" t="n">
        <v>28</v>
      </c>
      <c r="B29" s="0" t="n">
        <v>1.325</v>
      </c>
      <c r="C29" s="0" t="n">
        <v>154.094</v>
      </c>
      <c r="D29" s="0" t="n">
        <v>55</v>
      </c>
      <c r="E29" s="0" t="n">
        <v>247</v>
      </c>
      <c r="G29" s="0" t="n">
        <f aca="false">SQRT(B29/3.14)*2</f>
        <v>1.29919132123486</v>
      </c>
    </row>
    <row r="30" customFormat="false" ht="15" hidden="false" customHeight="false" outlineLevel="0" collapsed="false">
      <c r="A30" s="0" t="n">
        <v>29</v>
      </c>
      <c r="B30" s="0" t="n">
        <v>1.602</v>
      </c>
      <c r="C30" s="0" t="n">
        <v>153.946</v>
      </c>
      <c r="D30" s="0" t="n">
        <v>55</v>
      </c>
      <c r="E30" s="0" t="n">
        <v>247</v>
      </c>
      <c r="G30" s="0" t="n">
        <f aca="false">SQRT(B30/3.14)*2</f>
        <v>1.42855323009337</v>
      </c>
    </row>
    <row r="31" customFormat="false" ht="15" hidden="false" customHeight="false" outlineLevel="0" collapsed="false">
      <c r="A31" s="0" t="n">
        <v>30</v>
      </c>
      <c r="B31" s="0" t="n">
        <v>1.88</v>
      </c>
      <c r="C31" s="0" t="n">
        <v>159.862</v>
      </c>
      <c r="D31" s="0" t="n">
        <v>55</v>
      </c>
      <c r="E31" s="0" t="n">
        <v>255</v>
      </c>
      <c r="G31" s="0" t="n">
        <f aca="false">SQRT(B31/3.14)*2</f>
        <v>1.54754788572074</v>
      </c>
    </row>
    <row r="32" customFormat="false" ht="15" hidden="false" customHeight="false" outlineLevel="0" collapsed="false">
      <c r="A32" s="0" t="n">
        <v>31</v>
      </c>
      <c r="B32" s="0" t="n">
        <v>2.222</v>
      </c>
      <c r="C32" s="0" t="n">
        <v>162.571</v>
      </c>
      <c r="D32" s="0" t="n">
        <v>55</v>
      </c>
      <c r="E32" s="0" t="n">
        <v>255</v>
      </c>
      <c r="G32" s="0" t="n">
        <f aca="false">SQRT(B32/3.14)*2</f>
        <v>1.68243075590279</v>
      </c>
    </row>
    <row r="33" customFormat="false" ht="15" hidden="false" customHeight="false" outlineLevel="0" collapsed="false">
      <c r="A33" s="0" t="n">
        <v>32</v>
      </c>
      <c r="B33" s="0" t="n">
        <v>2.564</v>
      </c>
      <c r="C33" s="0" t="n">
        <v>161.45</v>
      </c>
      <c r="D33" s="0" t="n">
        <v>55</v>
      </c>
      <c r="E33" s="0" t="n">
        <v>255</v>
      </c>
      <c r="G33" s="0" t="n">
        <f aca="false">SQRT(B33/3.14)*2</f>
        <v>1.80727475448991</v>
      </c>
    </row>
    <row r="34" customFormat="false" ht="15" hidden="false" customHeight="false" outlineLevel="0" collapsed="false">
      <c r="A34" s="0" t="n">
        <v>33</v>
      </c>
      <c r="B34" s="0" t="n">
        <v>2.897</v>
      </c>
      <c r="C34" s="0" t="n">
        <v>161.602</v>
      </c>
      <c r="D34" s="0" t="n">
        <v>55</v>
      </c>
      <c r="E34" s="0" t="n">
        <v>255</v>
      </c>
      <c r="G34" s="0" t="n">
        <f aca="false">SQRT(B34/3.14)*2</f>
        <v>1.92105332041373</v>
      </c>
    </row>
    <row r="35" customFormat="false" ht="15" hidden="false" customHeight="false" outlineLevel="0" collapsed="false">
      <c r="A35" s="0" t="n">
        <v>34</v>
      </c>
      <c r="B35" s="0" t="n">
        <v>3.239</v>
      </c>
      <c r="C35" s="0" t="n">
        <v>160.655</v>
      </c>
      <c r="D35" s="0" t="n">
        <v>55</v>
      </c>
      <c r="E35" s="0" t="n">
        <v>255</v>
      </c>
      <c r="G35" s="0" t="n">
        <f aca="false">SQRT(B35/3.14)*2</f>
        <v>2.03128399040644</v>
      </c>
    </row>
    <row r="36" customFormat="false" ht="15" hidden="false" customHeight="false" outlineLevel="0" collapsed="false">
      <c r="A36" s="0" t="n">
        <v>35</v>
      </c>
      <c r="B36" s="0" t="n">
        <v>3.517</v>
      </c>
      <c r="C36" s="0" t="n">
        <v>159.782</v>
      </c>
      <c r="D36" s="0" t="n">
        <v>55</v>
      </c>
      <c r="E36" s="0" t="n">
        <v>255</v>
      </c>
      <c r="G36" s="0" t="n">
        <f aca="false">SQRT(B36/3.14)*2</f>
        <v>2.11666123342165</v>
      </c>
    </row>
    <row r="37" customFormat="false" ht="15" hidden="false" customHeight="false" outlineLevel="0" collapsed="false">
      <c r="A37" s="0" t="n">
        <v>36</v>
      </c>
      <c r="B37" s="0" t="n">
        <v>3.795</v>
      </c>
      <c r="C37" s="0" t="n">
        <v>160.38</v>
      </c>
      <c r="D37" s="0" t="n">
        <v>55</v>
      </c>
      <c r="E37" s="0" t="n">
        <v>255</v>
      </c>
      <c r="G37" s="0" t="n">
        <f aca="false">SQRT(B37/3.14)*2</f>
        <v>2.19872574562145</v>
      </c>
    </row>
    <row r="38" customFormat="false" ht="15" hidden="false" customHeight="false" outlineLevel="0" collapsed="false">
      <c r="A38" s="0" t="n">
        <v>37</v>
      </c>
      <c r="B38" s="0" t="n">
        <v>0.801</v>
      </c>
      <c r="C38" s="0" t="n">
        <v>159.672</v>
      </c>
      <c r="D38" s="0" t="n">
        <v>85</v>
      </c>
      <c r="E38" s="0" t="n">
        <v>255</v>
      </c>
      <c r="G38" s="0" t="n">
        <f aca="false">SQRT(B38/3.14)*2</f>
        <v>1.01013967628497</v>
      </c>
    </row>
    <row r="39" customFormat="false" ht="15" hidden="false" customHeight="false" outlineLevel="0" collapsed="false">
      <c r="A39" s="0" t="n">
        <v>38</v>
      </c>
      <c r="B39" s="0" t="n">
        <v>1.079</v>
      </c>
      <c r="C39" s="0" t="n">
        <v>154.408</v>
      </c>
      <c r="D39" s="0" t="n">
        <v>84</v>
      </c>
      <c r="E39" s="0" t="n">
        <v>255</v>
      </c>
      <c r="G39" s="0" t="n">
        <f aca="false">SQRT(B39/3.14)*2</f>
        <v>1.17240022730876</v>
      </c>
    </row>
    <row r="40" customFormat="false" ht="15" hidden="false" customHeight="false" outlineLevel="0" collapsed="false">
      <c r="A40" s="0" t="n">
        <v>39</v>
      </c>
      <c r="B40" s="0" t="n">
        <v>1.419</v>
      </c>
      <c r="C40" s="0" t="n">
        <v>153.641</v>
      </c>
      <c r="D40" s="0" t="n">
        <v>75</v>
      </c>
      <c r="E40" s="0" t="n">
        <v>255</v>
      </c>
      <c r="G40" s="0" t="n">
        <f aca="false">SQRT(B40/3.14)*2</f>
        <v>1.34448626326263</v>
      </c>
    </row>
    <row r="41" customFormat="false" ht="15" hidden="false" customHeight="false" outlineLevel="0" collapsed="false">
      <c r="A41" s="0" t="n">
        <v>40</v>
      </c>
      <c r="B41" s="0" t="n">
        <v>1.761</v>
      </c>
      <c r="C41" s="0" t="n">
        <v>156.946</v>
      </c>
      <c r="D41" s="0" t="n">
        <v>75</v>
      </c>
      <c r="E41" s="0" t="n">
        <v>255</v>
      </c>
      <c r="G41" s="0" t="n">
        <f aca="false">SQRT(B41/3.14)*2</f>
        <v>1.49776904157845</v>
      </c>
    </row>
    <row r="42" customFormat="false" ht="15" hidden="false" customHeight="false" outlineLevel="0" collapsed="false">
      <c r="A42" s="0" t="n">
        <v>41</v>
      </c>
      <c r="B42" s="0" t="n">
        <v>2.039</v>
      </c>
      <c r="C42" s="0" t="n">
        <v>157.538</v>
      </c>
      <c r="D42" s="0" t="n">
        <v>75</v>
      </c>
      <c r="E42" s="0" t="n">
        <v>255</v>
      </c>
      <c r="G42" s="0" t="n">
        <f aca="false">SQRT(B42/3.14)*2</f>
        <v>1.61166132586824</v>
      </c>
    </row>
    <row r="43" customFormat="false" ht="15" hidden="false" customHeight="false" outlineLevel="0" collapsed="false">
      <c r="A43" s="0" t="n">
        <v>42</v>
      </c>
      <c r="B43" s="0" t="n">
        <v>2.317</v>
      </c>
      <c r="C43" s="0" t="n">
        <v>159.243</v>
      </c>
      <c r="D43" s="0" t="n">
        <v>75</v>
      </c>
      <c r="E43" s="0" t="n">
        <v>255</v>
      </c>
      <c r="G43" s="0" t="n">
        <f aca="false">SQRT(B43/3.14)*2</f>
        <v>1.71801989414788</v>
      </c>
    </row>
    <row r="44" customFormat="false" ht="15" hidden="false" customHeight="false" outlineLevel="0" collapsed="false">
      <c r="A44" s="0" t="n">
        <v>43</v>
      </c>
      <c r="B44" s="0" t="n">
        <v>2.658</v>
      </c>
      <c r="C44" s="0" t="n">
        <v>158.53</v>
      </c>
      <c r="D44" s="0" t="n">
        <v>75</v>
      </c>
      <c r="E44" s="0" t="n">
        <v>255</v>
      </c>
      <c r="G44" s="0" t="n">
        <f aca="false">SQRT(B44/3.14)*2</f>
        <v>1.84010523099808</v>
      </c>
    </row>
    <row r="45" customFormat="false" ht="15" hidden="false" customHeight="false" outlineLevel="0" collapsed="false">
      <c r="A45" s="0" t="n">
        <v>44</v>
      </c>
      <c r="B45" s="0" t="n">
        <v>3.08</v>
      </c>
      <c r="C45" s="0" t="n">
        <v>155.898</v>
      </c>
      <c r="D45" s="0" t="n">
        <v>49</v>
      </c>
      <c r="E45" s="0" t="n">
        <v>255</v>
      </c>
      <c r="G45" s="0" t="n">
        <f aca="false">SQRT(B45/3.14)*2</f>
        <v>1.98079955547776</v>
      </c>
    </row>
    <row r="46" customFormat="false" ht="15" hidden="false" customHeight="false" outlineLevel="0" collapsed="false">
      <c r="A46" s="0" t="n">
        <v>45</v>
      </c>
      <c r="B46" s="0" t="n">
        <v>3.358</v>
      </c>
      <c r="C46" s="0" t="n">
        <v>155.056</v>
      </c>
      <c r="D46" s="0" t="n">
        <v>49</v>
      </c>
      <c r="E46" s="0" t="n">
        <v>255</v>
      </c>
      <c r="G46" s="0" t="n">
        <f aca="false">SQRT(B46/3.14)*2</f>
        <v>2.0682618321599</v>
      </c>
    </row>
    <row r="47" customFormat="false" ht="15" hidden="false" customHeight="false" outlineLevel="0" collapsed="false">
      <c r="A47" s="0" t="n">
        <v>46</v>
      </c>
      <c r="B47" s="0" t="n">
        <v>3.78</v>
      </c>
      <c r="C47" s="0" t="n">
        <v>153.419</v>
      </c>
      <c r="D47" s="0" t="n">
        <v>49</v>
      </c>
      <c r="E47" s="0" t="n">
        <v>255</v>
      </c>
      <c r="G47" s="0" t="n">
        <f aca="false">SQRT(B47/3.14)*2</f>
        <v>2.19437613553461</v>
      </c>
    </row>
    <row r="48" customFormat="false" ht="15" hidden="false" customHeight="false" outlineLevel="0" collapsed="false">
      <c r="A48" s="0" t="n">
        <v>47</v>
      </c>
      <c r="B48" s="0" t="n">
        <v>0.385</v>
      </c>
      <c r="C48" s="0" t="n">
        <v>144.729</v>
      </c>
      <c r="D48" s="0" t="n">
        <v>79</v>
      </c>
      <c r="E48" s="0" t="n">
        <v>255</v>
      </c>
      <c r="G48" s="0" t="n">
        <f aca="false">SQRT(B48/3.14)*2</f>
        <v>0.700318398924812</v>
      </c>
    </row>
    <row r="49" customFormat="false" ht="15" hidden="false" customHeight="false" outlineLevel="0" collapsed="false">
      <c r="A49" s="0" t="n">
        <v>48</v>
      </c>
      <c r="B49" s="0" t="n">
        <v>0.438</v>
      </c>
      <c r="C49" s="0" t="n">
        <v>140.366</v>
      </c>
      <c r="D49" s="0" t="n">
        <v>73</v>
      </c>
      <c r="E49" s="0" t="n">
        <v>233</v>
      </c>
      <c r="G49" s="0" t="n">
        <f aca="false">SQRT(B49/3.14)*2</f>
        <v>0.746968395207917</v>
      </c>
    </row>
    <row r="50" customFormat="false" ht="15" hidden="false" customHeight="false" outlineLevel="0" collapsed="false">
      <c r="A50" s="0" t="n">
        <v>49</v>
      </c>
      <c r="B50" s="0" t="n">
        <v>0.342</v>
      </c>
      <c r="C50" s="0" t="n">
        <v>152.105</v>
      </c>
      <c r="D50" s="0" t="n">
        <v>77</v>
      </c>
      <c r="E50" s="0" t="n">
        <v>220</v>
      </c>
      <c r="G50" s="0" t="n">
        <f aca="false">SQRT(B50/3.14)*2</f>
        <v>0.66005211143433</v>
      </c>
    </row>
    <row r="51" customFormat="false" ht="15" hidden="false" customHeight="false" outlineLevel="0" collapsed="false">
      <c r="A51" s="0" t="n">
        <v>50</v>
      </c>
      <c r="B51" s="0" t="n">
        <v>0.489</v>
      </c>
      <c r="C51" s="0" t="n">
        <v>143.246</v>
      </c>
      <c r="D51" s="0" t="n">
        <v>62</v>
      </c>
      <c r="E51" s="0" t="n">
        <v>227</v>
      </c>
      <c r="G51" s="0" t="n">
        <f aca="false">SQRT(B51/3.14)*2</f>
        <v>0.789259105937798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2026-10-19T14:06:24Z</dcterms:created>
  <dc:creator>ROMAN VERDE, LUIS ALBERTO</dc:creator>
  <dc:description/>
  <dc:language>en-US</dc:language>
  <cp:lastModifiedBy/>
  <dcterms:modified xsi:type="dcterms:W3CDTF">2026-10-19T14:14:38Z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