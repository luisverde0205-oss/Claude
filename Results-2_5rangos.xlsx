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60" yWindow="-60" windowWidth="15480" windowHeight="11640" tabRatio="600" firstSheet="0" activeTab="0" autoFilterDateGrouping="1"/>
  </bookViews>
  <sheets>
    <sheet xmlns:r="http://schemas.openxmlformats.org/officeDocument/2006/relationships" name="in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1">
    <xf numFmtId="0" fontId="0" fillId="0" borderId="0" pivotButton="0" quotePrefix="0" xfId="0"/>
  </cellXfs>
  <cellStyles count="42">
    <cellStyle name="Normal" xfId="0" builtinId="0"/>
    <cellStyle name="Título" xfId="1" builtinId="15"/>
    <cellStyle name="Encabezado 1" xfId="2" builtinId="16"/>
    <cellStyle name="Título 2" xfId="3" builtinId="17"/>
    <cellStyle name="Título 3" xfId="4" builtinId="18"/>
    <cellStyle name="Encabezado 4" xfId="5" builtinId="19"/>
    <cellStyle name="Bueno" xfId="6" builtinId="26"/>
    <cellStyle name="Incorrecto" xfId="7" builtinId="27"/>
    <cellStyle name="Neutral" xfId="8" builtinId="28"/>
    <cellStyle name="Entrada" xfId="9" builtinId="20"/>
    <cellStyle name="Salida" xfId="10" builtinId="21"/>
    <cellStyle name="Cálculo" xfId="11" builtinId="22"/>
    <cellStyle name="Celda vinculada" xfId="12" builtinId="24"/>
    <cellStyle name="Celda de comprobación" xfId="13" builtinId="23"/>
    <cellStyle name="Texto de advertencia" xfId="14" builtinId="11"/>
    <cellStyle name="Notas" xfId="15" builtinId="10"/>
    <cellStyle name="Texto explicativo" xfId="16" builtinId="53"/>
    <cellStyle name="Total" xfId="17" builtinId="25"/>
    <cellStyle name="Énfasis1" xfId="18" builtinId="29"/>
    <cellStyle name="20% - Énfasis1" xfId="19" builtinId="30"/>
    <cellStyle name="40% - Énfasis1" xfId="20" builtinId="31"/>
    <cellStyle name="60% - Énfasis1" xfId="21" builtinId="32"/>
    <cellStyle name="Énfasis2" xfId="22" builtinId="33"/>
    <cellStyle name="20% - Énfasis2" xfId="23" builtinId="34"/>
    <cellStyle name="40% - Énfasis2" xfId="24" builtinId="35"/>
    <cellStyle name="60% - Énfasis2" xfId="25" builtinId="36"/>
    <cellStyle name="Énfasis3" xfId="26" builtinId="37"/>
    <cellStyle name="20% - Énfasis3" xfId="27" builtinId="38"/>
    <cellStyle name="40% - Énfasis3" xfId="28" builtinId="39"/>
    <cellStyle name="60% - Énfasis3" xfId="29" builtinId="40"/>
    <cellStyle name="Énfasis4" xfId="30" builtinId="41"/>
    <cellStyle name="20% - Énfasis4" xfId="31" builtinId="42"/>
    <cellStyle name="40% - Énfasis4" xfId="32" builtinId="43"/>
    <cellStyle name="60% - Énfasis4" xfId="33" builtinId="44"/>
    <cellStyle name="Énfasis5" xfId="34" builtinId="45"/>
    <cellStyle name="20% - Énfasis5" xfId="35" builtinId="46"/>
    <cellStyle name="40% - Énfasis5" xfId="36" builtinId="47"/>
    <cellStyle name="60% - Énfasis5" xfId="37" builtinId="48"/>
    <cellStyle name="Énfasis6" xfId="38" builtinId="49"/>
    <cellStyle name="20% - Énfasis6" xfId="39" builtinId="50"/>
    <cellStyle name="40% - Énfasis6" xfId="40" builtinId="51"/>
    <cellStyle name="60% - Énfasis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Número de partículas por rango de área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'in'!I1</f>
            </strRef>
          </tx>
          <spPr>
            <a:ln xmlns:a="http://schemas.openxmlformats.org/drawingml/2006/main">
              <a:prstDash val="solid"/>
            </a:ln>
          </spPr>
          <cat>
            <numRef>
              <f>'in'!$H$2:$H$6</f>
            </numRef>
          </cat>
          <val>
            <numRef>
              <f>'in'!$I$2:$I$6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Rango de área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Número de partículas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7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tabSelected="1" workbookViewId="0">
      <selection activeCell="Q24" sqref="Q24"/>
    </sheetView>
  </sheetViews>
  <sheetFormatPr baseColWidth="8" defaultColWidth="10.76171875" defaultRowHeight="15"/>
  <cols>
    <col width="22" customWidth="1" min="8" max="8"/>
    <col width="20" customWidth="1" min="9" max="9"/>
  </cols>
  <sheetData>
    <row r="1">
      <c r="A1" t="inlineStr">
        <is>
          <t xml:space="preserve"> </t>
        </is>
      </c>
      <c r="B1" t="inlineStr">
        <is>
          <t>Label</t>
        </is>
      </c>
      <c r="C1" t="inlineStr">
        <is>
          <t>Area</t>
        </is>
      </c>
      <c r="D1" t="inlineStr">
        <is>
          <t>Mean</t>
        </is>
      </c>
      <c r="E1" t="inlineStr">
        <is>
          <t>Min</t>
        </is>
      </c>
      <c r="F1" t="inlineStr">
        <is>
          <t>Max</t>
        </is>
      </c>
      <c r="H1" t="inlineStr">
        <is>
          <t>Rango de área</t>
        </is>
      </c>
      <c r="I1" t="inlineStr">
        <is>
          <t>Número de partículas</t>
        </is>
      </c>
    </row>
    <row r="2">
      <c r="A2" t="n">
        <v>1</v>
      </c>
      <c r="C2" t="n">
        <v>179960.676</v>
      </c>
      <c r="D2" t="n">
        <v>255</v>
      </c>
      <c r="E2" t="n">
        <v>255</v>
      </c>
      <c r="F2" t="n">
        <v>255</v>
      </c>
      <c r="H2" t="inlineStr">
        <is>
          <t>155,000 - 161,000</t>
        </is>
      </c>
      <c r="I2">
        <f>COUNTIFS($C$2:$C$20,"&gt;="&amp;155000,$C$2:$C$20,"&lt;"&amp;161000)</f>
        <v/>
      </c>
    </row>
    <row r="3">
      <c r="A3" t="n">
        <v>2</v>
      </c>
      <c r="C3" t="n">
        <v>180810.926</v>
      </c>
      <c r="D3" t="n">
        <v>255</v>
      </c>
      <c r="E3" t="n">
        <v>255</v>
      </c>
      <c r="F3" t="n">
        <v>255</v>
      </c>
      <c r="H3" t="inlineStr">
        <is>
          <t>161,000 - 167,000</t>
        </is>
      </c>
      <c r="I3">
        <f>COUNTIFS($C$2:$C$20,"&gt;="&amp;161000,$C$2:$C$20,"&lt;"&amp;167000)</f>
        <v/>
      </c>
    </row>
    <row r="4">
      <c r="A4" t="n">
        <v>3</v>
      </c>
      <c r="C4" t="n">
        <v>171803.592</v>
      </c>
      <c r="D4" t="n">
        <v>255</v>
      </c>
      <c r="E4" t="n">
        <v>255</v>
      </c>
      <c r="F4" t="n">
        <v>255</v>
      </c>
      <c r="H4" t="inlineStr">
        <is>
          <t>167,000 - 173,000</t>
        </is>
      </c>
      <c r="I4">
        <f>COUNTIFS($C$2:$C$20,"&gt;="&amp;167000,$C$2:$C$20,"&lt;"&amp;173000)</f>
        <v/>
      </c>
    </row>
    <row r="5">
      <c r="A5" t="n">
        <v>4</v>
      </c>
      <c r="C5" t="n">
        <v>156313.104</v>
      </c>
      <c r="D5" t="n">
        <v>255</v>
      </c>
      <c r="E5" t="n">
        <v>255</v>
      </c>
      <c r="F5" t="n">
        <v>255</v>
      </c>
      <c r="H5" t="inlineStr">
        <is>
          <t>173,000 - 179,000</t>
        </is>
      </c>
      <c r="I5">
        <f>COUNTIFS($C$2:$C$20,"&gt;="&amp;173000,$C$2:$C$20,"&lt;"&amp;179000)</f>
        <v/>
      </c>
    </row>
    <row r="6">
      <c r="A6" t="n">
        <v>5</v>
      </c>
      <c r="C6" t="n">
        <v>174487.193</v>
      </c>
      <c r="D6" t="n">
        <v>255</v>
      </c>
      <c r="E6" t="n">
        <v>255</v>
      </c>
      <c r="F6" t="n">
        <v>255</v>
      </c>
      <c r="H6" t="inlineStr">
        <is>
          <t>179,000 - 185,000</t>
        </is>
      </c>
      <c r="I6">
        <f>COUNTIFS($C$2:$C$20,"&gt;="&amp;179000,$C$2:$C$20,"&lt;"&amp;185000)</f>
        <v/>
      </c>
    </row>
    <row r="7">
      <c r="A7" t="n">
        <v>6</v>
      </c>
      <c r="C7" t="n">
        <v>171245.616</v>
      </c>
      <c r="D7" t="n">
        <v>255</v>
      </c>
      <c r="E7" t="n">
        <v>255</v>
      </c>
      <c r="F7" t="n">
        <v>255</v>
      </c>
    </row>
    <row r="8">
      <c r="A8" t="n">
        <v>7</v>
      </c>
      <c r="C8" t="n">
        <v>159421.83</v>
      </c>
      <c r="D8" t="n">
        <v>255</v>
      </c>
      <c r="E8" t="n">
        <v>255</v>
      </c>
      <c r="F8" t="n">
        <v>255</v>
      </c>
    </row>
    <row r="9">
      <c r="A9" t="n">
        <v>8</v>
      </c>
      <c r="C9" t="n">
        <v>180598.363</v>
      </c>
      <c r="D9" t="n">
        <v>255</v>
      </c>
      <c r="E9" t="n">
        <v>255</v>
      </c>
      <c r="F9" t="n">
        <v>255</v>
      </c>
    </row>
    <row r="10">
      <c r="A10" t="n">
        <v>9</v>
      </c>
      <c r="C10" t="n">
        <v>174115.209</v>
      </c>
      <c r="D10" t="n">
        <v>255</v>
      </c>
      <c r="E10" t="n">
        <v>255</v>
      </c>
      <c r="F10" t="n">
        <v>255</v>
      </c>
    </row>
    <row r="11">
      <c r="A11" t="n">
        <v>10</v>
      </c>
      <c r="C11" t="n">
        <v>179190.137</v>
      </c>
      <c r="D11" t="n">
        <v>255</v>
      </c>
      <c r="E11" t="n">
        <v>255</v>
      </c>
      <c r="F11" t="n">
        <v>255</v>
      </c>
    </row>
    <row r="12">
      <c r="A12" t="n">
        <v>11</v>
      </c>
      <c r="C12" t="n">
        <v>163061.962</v>
      </c>
      <c r="D12" t="n">
        <v>255</v>
      </c>
      <c r="E12" t="n">
        <v>255</v>
      </c>
      <c r="F12" t="n">
        <v>255</v>
      </c>
    </row>
    <row r="13">
      <c r="A13" t="n">
        <v>12</v>
      </c>
      <c r="C13" t="n">
        <v>163566.798</v>
      </c>
      <c r="D13" t="n">
        <v>255</v>
      </c>
      <c r="E13" t="n">
        <v>255</v>
      </c>
      <c r="F13" t="n">
        <v>255</v>
      </c>
    </row>
    <row r="14">
      <c r="A14" t="n">
        <v>13</v>
      </c>
      <c r="C14" t="n">
        <v>168269.742</v>
      </c>
      <c r="D14" t="n">
        <v>255</v>
      </c>
      <c r="E14" t="n">
        <v>255</v>
      </c>
      <c r="F14" t="n">
        <v>255</v>
      </c>
    </row>
    <row r="15">
      <c r="A15" t="n">
        <v>14</v>
      </c>
      <c r="C15" t="n">
        <v>161733.447</v>
      </c>
      <c r="D15" t="n">
        <v>255</v>
      </c>
      <c r="E15" t="n">
        <v>255</v>
      </c>
      <c r="F15" t="n">
        <v>255</v>
      </c>
    </row>
    <row r="16">
      <c r="A16" t="n">
        <v>15</v>
      </c>
      <c r="C16" t="n">
        <v>169199.702</v>
      </c>
      <c r="D16" t="n">
        <v>255</v>
      </c>
      <c r="E16" t="n">
        <v>255</v>
      </c>
      <c r="F16" t="n">
        <v>255</v>
      </c>
    </row>
    <row r="17">
      <c r="A17" t="n">
        <v>16</v>
      </c>
      <c r="C17" t="n">
        <v>176878.521</v>
      </c>
      <c r="D17" t="n">
        <v>255</v>
      </c>
      <c r="E17" t="n">
        <v>255</v>
      </c>
      <c r="F17" t="n">
        <v>255</v>
      </c>
    </row>
    <row r="18">
      <c r="A18" t="n">
        <v>17</v>
      </c>
      <c r="C18" t="n">
        <v>169970.241</v>
      </c>
      <c r="D18" t="n">
        <v>255</v>
      </c>
      <c r="E18" t="n">
        <v>255</v>
      </c>
      <c r="F18" t="n">
        <v>255</v>
      </c>
    </row>
    <row r="19">
      <c r="A19" t="n">
        <v>18</v>
      </c>
      <c r="C19" t="n">
        <v>181289.191</v>
      </c>
      <c r="D19" t="n">
        <v>255</v>
      </c>
      <c r="E19" t="n">
        <v>255</v>
      </c>
      <c r="F19" t="n">
        <v>255</v>
      </c>
    </row>
    <row r="20">
      <c r="A20" t="n">
        <v>19</v>
      </c>
      <c r="C20" t="n">
        <v>173769.795</v>
      </c>
      <c r="D20" t="n">
        <v>255</v>
      </c>
      <c r="E20" t="n">
        <v>255</v>
      </c>
      <c r="F20" t="n">
        <v>255</v>
      </c>
    </row>
    <row r="21">
      <c r="A21" t="n">
        <v>20</v>
      </c>
      <c r="B21" t="inlineStr">
        <is>
          <t>Mean</t>
        </is>
      </c>
      <c r="C21" t="n">
        <v>171351.897</v>
      </c>
      <c r="D21" t="n">
        <v>255</v>
      </c>
      <c r="E21" t="n">
        <v>255</v>
      </c>
      <c r="F21" t="n">
        <v>255</v>
      </c>
    </row>
    <row r="22">
      <c r="A22" t="n">
        <v>21</v>
      </c>
      <c r="B22" t="inlineStr">
        <is>
          <t>SD</t>
        </is>
      </c>
      <c r="C22" t="n">
        <v>7709.007</v>
      </c>
      <c r="D22" t="n">
        <v>0</v>
      </c>
      <c r="E22" t="n">
        <v>0</v>
      </c>
      <c r="F22" t="n">
        <v>0</v>
      </c>
    </row>
    <row r="23">
      <c r="A23" t="n">
        <v>22</v>
      </c>
      <c r="B23" t="inlineStr">
        <is>
          <t>Min</t>
        </is>
      </c>
      <c r="C23" t="n">
        <v>156313.104</v>
      </c>
      <c r="D23" t="n">
        <v>255</v>
      </c>
      <c r="E23" t="n">
        <v>255</v>
      </c>
      <c r="F23" t="n">
        <v>255</v>
      </c>
    </row>
    <row r="24">
      <c r="A24" t="n">
        <v>23</v>
      </c>
      <c r="B24" t="inlineStr">
        <is>
          <t>Max</t>
        </is>
      </c>
      <c r="C24" t="n">
        <v>181289.191</v>
      </c>
      <c r="D24" t="n">
        <v>255</v>
      </c>
      <c r="E24" t="n">
        <v>255</v>
      </c>
      <c r="F24" t="n">
        <v>255</v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ROMAN VERDE, LUIS ALBERTO</dc:creator>
  <dcterms:created xmlns:dcterms="http://purl.org/dc/terms/" xmlns:xsi="http://www.w3.org/2001/XMLSchema-instance" xsi:type="dcterms:W3CDTF">2026-10-26T14:05:14Z</dcterms:created>
  <dcterms:modified xmlns:dcterms="http://purl.org/dc/terms/" xmlns:xsi="http://www.w3.org/2001/XMLSchema-instance" xsi:type="dcterms:W3CDTF">2026-10-26T14:16:34Z</dcterms:modified>
  <cp:lastModifiedBy>X</cp:lastModifiedBy>
</cp:coreProperties>
</file>